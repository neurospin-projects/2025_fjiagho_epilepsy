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ca\Documents\workspace\projets\epilepsie\donnees_stanne_2013\"/>
    </mc:Choice>
  </mc:AlternateContent>
  <bookViews>
    <workbookView xWindow="3720" yWindow="375" windowWidth="13815" windowHeight="6720" tabRatio="792"/>
  </bookViews>
  <sheets>
    <sheet name="all_subjects" sheetId="13" r:id="rId1"/>
    <sheet name="pat.droitiers-" sheetId="11" r:id="rId2"/>
    <sheet name="pat.droitiers+" sheetId="10" r:id="rId3"/>
    <sheet name="pat.droitiers" sheetId="4" r:id="rId4"/>
    <sheet name="controlsCHSA" sheetId="5" r:id="rId5"/>
    <sheet name="controls-nemauvi" sheetId="8" r:id="rId6"/>
    <sheet name="all-controlsFin" sheetId="9" r:id="rId7"/>
  </sheets>
  <definedNames>
    <definedName name="_xlnm._FilterDatabase" localSheetId="5" hidden="1">'controls-nemauvi'!$A$1:$L$1</definedName>
    <definedName name="SPSS">#REF!</definedName>
  </definedNames>
  <calcPr calcId="152511"/>
</workbook>
</file>

<file path=xl/calcChain.xml><?xml version="1.0" encoding="utf-8"?>
<calcChain xmlns="http://schemas.openxmlformats.org/spreadsheetml/2006/main">
  <c r="E42" i="13" l="1"/>
  <c r="G41" i="13"/>
  <c r="F41" i="13"/>
  <c r="E41" i="13"/>
  <c r="D41" i="13"/>
  <c r="B41" i="13"/>
  <c r="G40" i="13"/>
  <c r="F40" i="13"/>
  <c r="E40" i="13"/>
  <c r="D40" i="13"/>
  <c r="C40" i="13"/>
  <c r="B40" i="13"/>
  <c r="H19" i="10" l="1"/>
  <c r="H14" i="11"/>
  <c r="E16" i="11" l="1"/>
  <c r="G15" i="11"/>
  <c r="F15" i="11"/>
  <c r="E15" i="11"/>
  <c r="D15" i="11"/>
  <c r="B15" i="11"/>
  <c r="G14" i="11"/>
  <c r="F14" i="11"/>
  <c r="E14" i="11"/>
  <c r="D14" i="11"/>
  <c r="C14" i="11"/>
  <c r="H17" i="11" s="1"/>
  <c r="B14" i="11"/>
  <c r="E21" i="10"/>
  <c r="G20" i="10"/>
  <c r="F20" i="10"/>
  <c r="E20" i="10"/>
  <c r="D20" i="10"/>
  <c r="B20" i="10"/>
  <c r="G19" i="10"/>
  <c r="F19" i="10"/>
  <c r="E19" i="10"/>
  <c r="D19" i="10"/>
  <c r="C19" i="10"/>
  <c r="H22" i="10" s="1"/>
  <c r="B19" i="10"/>
  <c r="E34" i="9"/>
  <c r="G33" i="9"/>
  <c r="F33" i="9"/>
  <c r="E33" i="9"/>
  <c r="D33" i="9"/>
  <c r="B33" i="9"/>
  <c r="G32" i="9"/>
  <c r="F32" i="9"/>
  <c r="E32" i="9"/>
  <c r="D32" i="9"/>
  <c r="C32" i="9"/>
  <c r="B32" i="9"/>
  <c r="B14" i="8"/>
  <c r="B13" i="8"/>
  <c r="B35" i="9" l="1"/>
  <c r="B17" i="11"/>
  <c r="B22" i="10"/>
  <c r="G22" i="5" l="1"/>
  <c r="G21" i="5"/>
  <c r="F22" i="5"/>
  <c r="F21" i="5"/>
  <c r="E23" i="5"/>
  <c r="E22" i="5"/>
  <c r="E21" i="5"/>
  <c r="D22" i="5"/>
  <c r="D21" i="5"/>
  <c r="C21" i="5"/>
  <c r="B22" i="5"/>
  <c r="B21" i="5"/>
  <c r="B24" i="5" s="1"/>
  <c r="G32" i="4"/>
  <c r="G31" i="4"/>
  <c r="F32" i="4"/>
  <c r="F31" i="4"/>
  <c r="E33" i="4"/>
  <c r="E32" i="4"/>
  <c r="E31" i="4"/>
  <c r="D32" i="4"/>
  <c r="D31" i="4"/>
  <c r="C31" i="4"/>
  <c r="B32" i="4"/>
  <c r="B31" i="4"/>
  <c r="B34" i="4" l="1"/>
</calcChain>
</file>

<file path=xl/sharedStrings.xml><?xml version="1.0" encoding="utf-8"?>
<sst xmlns="http://schemas.openxmlformats.org/spreadsheetml/2006/main" count="1236" uniqueCount="133">
  <si>
    <t>subject</t>
  </si>
  <si>
    <t>IRM</t>
  </si>
  <si>
    <t>type dysplasie</t>
  </si>
  <si>
    <t>group</t>
  </si>
  <si>
    <t>agealirm</t>
  </si>
  <si>
    <t>sex</t>
  </si>
  <si>
    <t>handedness</t>
  </si>
  <si>
    <t>lesion_side</t>
  </si>
  <si>
    <t>Lieu IRM</t>
  </si>
  <si>
    <t>nsujet01</t>
  </si>
  <si>
    <t>1.5T</t>
  </si>
  <si>
    <t>patients</t>
  </si>
  <si>
    <t>negative</t>
  </si>
  <si>
    <t>f</t>
  </si>
  <si>
    <t>D</t>
  </si>
  <si>
    <t>nsujet08</t>
  </si>
  <si>
    <t>m</t>
  </si>
  <si>
    <t>nsujet10</t>
  </si>
  <si>
    <t>nsujet12</t>
  </si>
  <si>
    <t>nsujet20</t>
  </si>
  <si>
    <t>nsujet22</t>
  </si>
  <si>
    <t>nsujet23</t>
  </si>
  <si>
    <t>sujet02</t>
  </si>
  <si>
    <t>positive</t>
  </si>
  <si>
    <t>sujet04</t>
  </si>
  <si>
    <t>sujet05</t>
  </si>
  <si>
    <t>G</t>
  </si>
  <si>
    <t>sujet06</t>
  </si>
  <si>
    <t>sujet07</t>
  </si>
  <si>
    <t>sujet08</t>
  </si>
  <si>
    <t>sujet10</t>
  </si>
  <si>
    <t>sujet11</t>
  </si>
  <si>
    <t>sujet13</t>
  </si>
  <si>
    <t>sujet36</t>
  </si>
  <si>
    <t>3T</t>
  </si>
  <si>
    <t>CHSA</t>
  </si>
  <si>
    <t>sujet40</t>
  </si>
  <si>
    <t>nsujet03</t>
  </si>
  <si>
    <t>nsujet07</t>
  </si>
  <si>
    <t>nsujet13</t>
  </si>
  <si>
    <t>nsujet15</t>
  </si>
  <si>
    <t>nsujet16</t>
  </si>
  <si>
    <t>nsujet26</t>
  </si>
  <si>
    <t>sujet03</t>
  </si>
  <si>
    <t>sujet09</t>
  </si>
  <si>
    <t>sujet14</t>
  </si>
  <si>
    <t>sujet15</t>
  </si>
  <si>
    <t>sujet20</t>
  </si>
  <si>
    <t>sujet29</t>
  </si>
  <si>
    <t>sujet32</t>
  </si>
  <si>
    <t>sujet33</t>
  </si>
  <si>
    <t>sujet34</t>
  </si>
  <si>
    <t>sujet35</t>
  </si>
  <si>
    <t>sujet37</t>
  </si>
  <si>
    <t>sujet38</t>
  </si>
  <si>
    <t>sujet39</t>
  </si>
  <si>
    <t>control01</t>
  </si>
  <si>
    <t>controls</t>
  </si>
  <si>
    <t>no</t>
  </si>
  <si>
    <t>control02</t>
  </si>
  <si>
    <t>control03</t>
  </si>
  <si>
    <t>control04</t>
  </si>
  <si>
    <t>control05</t>
  </si>
  <si>
    <t>control06</t>
  </si>
  <si>
    <t>control07</t>
  </si>
  <si>
    <t>control08</t>
  </si>
  <si>
    <t>control09</t>
  </si>
  <si>
    <t>control10</t>
  </si>
  <si>
    <t>control11</t>
  </si>
  <si>
    <t>control12</t>
  </si>
  <si>
    <t>control14</t>
  </si>
  <si>
    <t>control15</t>
  </si>
  <si>
    <t>control16</t>
  </si>
  <si>
    <t>control17</t>
  </si>
  <si>
    <t>control18</t>
  </si>
  <si>
    <t>control19</t>
  </si>
  <si>
    <t>control20</t>
  </si>
  <si>
    <t>sujet41</t>
  </si>
  <si>
    <t>nb(1.5T,m, pos, R, medAge)</t>
  </si>
  <si>
    <t xml:space="preserve">nb (3T, f, neg, L, Q1 </t>
  </si>
  <si>
    <t>AgeQ 3</t>
  </si>
  <si>
    <t>%tage 1.5T</t>
  </si>
  <si>
    <t>10 controls supplémentaires</t>
  </si>
  <si>
    <t>3 avec 1.5T</t>
  </si>
  <si>
    <t>7 a 3T</t>
  </si>
  <si>
    <t>plus petit possible</t>
  </si>
  <si>
    <t>4 hommes + 3 femmes</t>
  </si>
  <si>
    <t>3 hommes: total de 8+3 = 11 hommes à 1.5T et 11 femmes</t>
  </si>
  <si>
    <t>15 hommes et143 femmes</t>
  </si>
  <si>
    <t>ok</t>
  </si>
  <si>
    <t>Sujet</t>
  </si>
  <si>
    <t>Code IRM</t>
  </si>
  <si>
    <t>Groupe</t>
  </si>
  <si>
    <t>age</t>
  </si>
  <si>
    <t>sexe</t>
  </si>
  <si>
    <t>nv etude</t>
  </si>
  <si>
    <t>latéralité</t>
  </si>
  <si>
    <t>données T1</t>
  </si>
  <si>
    <t>qualité T1</t>
  </si>
  <si>
    <t>Morphologist 2012 Hemi meshes</t>
  </si>
  <si>
    <t>Morphologist 2012 Lgraph</t>
  </si>
  <si>
    <t>Morphologist 2012 Rgraph</t>
  </si>
  <si>
    <t>SUJET13_LC_0804</t>
  </si>
  <si>
    <t>CL100007</t>
  </si>
  <si>
    <t>SJ</t>
  </si>
  <si>
    <t>F</t>
  </si>
  <si>
    <t>dispo</t>
  </si>
  <si>
    <t>pb</t>
  </si>
  <si>
    <t>SUJET6_JD_2303</t>
  </si>
  <si>
    <t>DJ100006</t>
  </si>
  <si>
    <t>M</t>
  </si>
  <si>
    <t>SUJET10_GC_3103</t>
  </si>
  <si>
    <t>GC100003</t>
  </si>
  <si>
    <t>sinusLong</t>
  </si>
  <si>
    <t>SUJET22_JG_2005</t>
  </si>
  <si>
    <t>GJ100016</t>
  </si>
  <si>
    <t>sigS.C.post</t>
  </si>
  <si>
    <t>SUJET8_SG_2503</t>
  </si>
  <si>
    <t>GS100009</t>
  </si>
  <si>
    <t>pb S.C.post</t>
  </si>
  <si>
    <t>SUJET1_CL_2202</t>
  </si>
  <si>
    <t>LC100023</t>
  </si>
  <si>
    <t>SUJET23_SL_2505</t>
  </si>
  <si>
    <t>LS100019</t>
  </si>
  <si>
    <t>SUJET21_CP_1905</t>
  </si>
  <si>
    <t>PC100017</t>
  </si>
  <si>
    <t>SUJET12_MP_0604</t>
  </si>
  <si>
    <t>PM100005</t>
  </si>
  <si>
    <t>SUJET15_PT_2804</t>
  </si>
  <si>
    <t>TP100014</t>
  </si>
  <si>
    <t>nb hommes</t>
  </si>
  <si>
    <t>nb femmes</t>
  </si>
  <si>
    <t>données témoins les plus jeunes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</si>
</sst>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.00000000"/>
  </numFmts>
  <fonts count="4" x14ac:knownFonts="1">
    <font>
      <sz val="8"/>
      <name val="Courier New"/>
      <family val="3"/>
      <charset val="1"/>
    </font>
    <font>
      <sz val="8"/>
      <color rgb="FF000000"/>
      <name val="Courier New"/>
      <family val="3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Font="1" applyAlignment="1">
      <alignment horizontal="center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14" workbookViewId="0">
      <selection activeCell="C41" sqref="C41"/>
    </sheetView>
  </sheetViews>
  <sheetFormatPr baseColWidth="10" defaultRowHeight="10.5" x14ac:dyDescent="0.35"/>
  <sheetData>
    <row r="1" spans="1:8" x14ac:dyDescent="0.35">
      <c r="A1" s="2" t="s">
        <v>0</v>
      </c>
      <c r="B1" s="2" t="s">
        <v>1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9</v>
      </c>
      <c r="B2" s="1" t="s">
        <v>10</v>
      </c>
      <c r="C2" s="2" t="s">
        <v>11</v>
      </c>
      <c r="D2" s="1" t="s">
        <v>12</v>
      </c>
      <c r="E2" s="3">
        <v>12</v>
      </c>
      <c r="F2" s="3" t="s">
        <v>13</v>
      </c>
      <c r="G2" s="3" t="s">
        <v>14</v>
      </c>
      <c r="H2" s="3" t="s">
        <v>14</v>
      </c>
    </row>
    <row r="3" spans="1:8" x14ac:dyDescent="0.35">
      <c r="A3" s="1" t="s">
        <v>15</v>
      </c>
      <c r="B3" s="1" t="s">
        <v>10</v>
      </c>
      <c r="C3" s="2" t="s">
        <v>11</v>
      </c>
      <c r="D3" s="1" t="s">
        <v>12</v>
      </c>
      <c r="E3" s="3">
        <v>11</v>
      </c>
      <c r="F3" s="3" t="s">
        <v>16</v>
      </c>
      <c r="G3" s="3" t="s">
        <v>14</v>
      </c>
      <c r="H3" s="3" t="s">
        <v>14</v>
      </c>
    </row>
    <row r="4" spans="1:8" x14ac:dyDescent="0.35">
      <c r="A4" s="1" t="s">
        <v>17</v>
      </c>
      <c r="B4" s="1" t="s">
        <v>10</v>
      </c>
      <c r="C4" s="2" t="s">
        <v>11</v>
      </c>
      <c r="D4" s="1" t="s">
        <v>12</v>
      </c>
      <c r="E4" s="3">
        <v>12</v>
      </c>
      <c r="F4" s="3" t="s">
        <v>16</v>
      </c>
      <c r="G4" s="3" t="s">
        <v>14</v>
      </c>
      <c r="H4" s="3" t="s">
        <v>14</v>
      </c>
    </row>
    <row r="5" spans="1:8" x14ac:dyDescent="0.35">
      <c r="A5" s="1" t="s">
        <v>18</v>
      </c>
      <c r="B5" s="1" t="s">
        <v>10</v>
      </c>
      <c r="C5" s="2" t="s">
        <v>11</v>
      </c>
      <c r="D5" s="1" t="s">
        <v>12</v>
      </c>
      <c r="E5" s="3">
        <v>17</v>
      </c>
      <c r="F5" s="3" t="s">
        <v>13</v>
      </c>
      <c r="G5" s="3" t="s">
        <v>14</v>
      </c>
      <c r="H5" s="3" t="s">
        <v>14</v>
      </c>
    </row>
    <row r="6" spans="1:8" x14ac:dyDescent="0.35">
      <c r="A6" s="1" t="s">
        <v>19</v>
      </c>
      <c r="B6" s="1" t="s">
        <v>10</v>
      </c>
      <c r="C6" s="2" t="s">
        <v>11</v>
      </c>
      <c r="D6" s="1" t="s">
        <v>12</v>
      </c>
      <c r="E6" s="3">
        <v>7</v>
      </c>
      <c r="F6" s="3" t="s">
        <v>13</v>
      </c>
      <c r="G6" s="3" t="s">
        <v>14</v>
      </c>
      <c r="H6" s="3" t="s">
        <v>14</v>
      </c>
    </row>
    <row r="7" spans="1:8" x14ac:dyDescent="0.35">
      <c r="A7" s="1" t="s">
        <v>20</v>
      </c>
      <c r="B7" s="1" t="s">
        <v>10</v>
      </c>
      <c r="C7" s="2" t="s">
        <v>11</v>
      </c>
      <c r="D7" s="1" t="s">
        <v>12</v>
      </c>
      <c r="E7" s="3">
        <v>42</v>
      </c>
      <c r="F7" s="3" t="s">
        <v>13</v>
      </c>
      <c r="G7" s="3" t="s">
        <v>14</v>
      </c>
      <c r="H7" s="3" t="s">
        <v>14</v>
      </c>
    </row>
    <row r="8" spans="1:8" x14ac:dyDescent="0.35">
      <c r="A8" s="1" t="s">
        <v>21</v>
      </c>
      <c r="B8" s="1" t="s">
        <v>10</v>
      </c>
      <c r="C8" s="2" t="s">
        <v>11</v>
      </c>
      <c r="D8" s="1" t="s">
        <v>12</v>
      </c>
      <c r="E8" s="3">
        <v>9</v>
      </c>
      <c r="F8" s="3" t="s">
        <v>13</v>
      </c>
      <c r="G8" s="3" t="s">
        <v>14</v>
      </c>
      <c r="H8" s="3" t="s">
        <v>14</v>
      </c>
    </row>
    <row r="9" spans="1:8" x14ac:dyDescent="0.35">
      <c r="A9" s="2" t="s">
        <v>22</v>
      </c>
      <c r="B9" s="2" t="s">
        <v>10</v>
      </c>
      <c r="C9" s="2" t="s">
        <v>11</v>
      </c>
      <c r="D9" s="2" t="s">
        <v>23</v>
      </c>
      <c r="E9" s="4">
        <v>19</v>
      </c>
      <c r="F9" s="2" t="s">
        <v>16</v>
      </c>
      <c r="G9" s="2" t="s">
        <v>14</v>
      </c>
      <c r="H9" s="2" t="s">
        <v>14</v>
      </c>
    </row>
    <row r="10" spans="1:8" x14ac:dyDescent="0.35">
      <c r="A10" s="2" t="s">
        <v>24</v>
      </c>
      <c r="B10" s="2" t="s">
        <v>10</v>
      </c>
      <c r="C10" s="2" t="s">
        <v>11</v>
      </c>
      <c r="D10" s="2" t="s">
        <v>23</v>
      </c>
      <c r="E10" s="4">
        <v>29</v>
      </c>
      <c r="F10" s="2" t="s">
        <v>16</v>
      </c>
      <c r="G10" s="2" t="s">
        <v>14</v>
      </c>
      <c r="H10" s="2" t="s">
        <v>14</v>
      </c>
    </row>
    <row r="11" spans="1:8" x14ac:dyDescent="0.35">
      <c r="A11" s="2" t="s">
        <v>25</v>
      </c>
      <c r="B11" s="2" t="s">
        <v>10</v>
      </c>
      <c r="C11" s="2" t="s">
        <v>11</v>
      </c>
      <c r="D11" s="2" t="s">
        <v>23</v>
      </c>
      <c r="E11" s="4">
        <v>32</v>
      </c>
      <c r="F11" s="2" t="s">
        <v>13</v>
      </c>
      <c r="G11" s="2" t="s">
        <v>26</v>
      </c>
      <c r="H11" s="2" t="s">
        <v>14</v>
      </c>
    </row>
    <row r="12" spans="1:8" x14ac:dyDescent="0.35">
      <c r="A12" s="2" t="s">
        <v>27</v>
      </c>
      <c r="B12" s="2" t="s">
        <v>10</v>
      </c>
      <c r="C12" s="2" t="s">
        <v>11</v>
      </c>
      <c r="D12" s="2" t="s">
        <v>23</v>
      </c>
      <c r="E12" s="4">
        <v>13</v>
      </c>
      <c r="F12" s="2" t="s">
        <v>16</v>
      </c>
      <c r="G12" s="2" t="s">
        <v>14</v>
      </c>
      <c r="H12" s="2" t="s">
        <v>14</v>
      </c>
    </row>
    <row r="13" spans="1:8" x14ac:dyDescent="0.35">
      <c r="A13" s="2" t="s">
        <v>28</v>
      </c>
      <c r="B13" s="2" t="s">
        <v>10</v>
      </c>
      <c r="C13" s="2" t="s">
        <v>11</v>
      </c>
      <c r="D13" s="2" t="s">
        <v>23</v>
      </c>
      <c r="E13" s="4">
        <v>36</v>
      </c>
      <c r="F13" s="2" t="s">
        <v>16</v>
      </c>
      <c r="G13" s="2" t="s">
        <v>26</v>
      </c>
      <c r="H13" s="2" t="s">
        <v>14</v>
      </c>
    </row>
    <row r="14" spans="1:8" x14ac:dyDescent="0.35">
      <c r="A14" s="2" t="s">
        <v>29</v>
      </c>
      <c r="B14" s="2" t="s">
        <v>10</v>
      </c>
      <c r="C14" s="2" t="s">
        <v>11</v>
      </c>
      <c r="D14" s="2" t="s">
        <v>23</v>
      </c>
      <c r="E14" s="4">
        <v>40</v>
      </c>
      <c r="F14" s="2" t="s">
        <v>13</v>
      </c>
      <c r="G14" s="2" t="s">
        <v>14</v>
      </c>
      <c r="H14" s="2" t="s">
        <v>14</v>
      </c>
    </row>
    <row r="15" spans="1:8" x14ac:dyDescent="0.35">
      <c r="A15" s="2" t="s">
        <v>30</v>
      </c>
      <c r="B15" s="2" t="s">
        <v>10</v>
      </c>
      <c r="C15" s="2" t="s">
        <v>11</v>
      </c>
      <c r="D15" s="2" t="s">
        <v>23</v>
      </c>
      <c r="E15" s="4">
        <v>11</v>
      </c>
      <c r="F15" s="2" t="s">
        <v>13</v>
      </c>
      <c r="G15" s="2" t="s">
        <v>14</v>
      </c>
      <c r="H15" s="2" t="s">
        <v>14</v>
      </c>
    </row>
    <row r="16" spans="1:8" x14ac:dyDescent="0.35">
      <c r="A16" s="2" t="s">
        <v>31</v>
      </c>
      <c r="B16" s="2" t="s">
        <v>10</v>
      </c>
      <c r="C16" s="2" t="s">
        <v>11</v>
      </c>
      <c r="D16" s="2" t="s">
        <v>23</v>
      </c>
      <c r="E16" s="4">
        <v>29</v>
      </c>
      <c r="F16" s="2" t="s">
        <v>13</v>
      </c>
      <c r="G16" s="2" t="s">
        <v>26</v>
      </c>
      <c r="H16" s="2" t="s">
        <v>14</v>
      </c>
    </row>
    <row r="17" spans="1:8" x14ac:dyDescent="0.35">
      <c r="A17" s="2" t="s">
        <v>32</v>
      </c>
      <c r="B17" s="2" t="s">
        <v>10</v>
      </c>
      <c r="C17" s="2" t="s">
        <v>11</v>
      </c>
      <c r="D17" s="2" t="s">
        <v>23</v>
      </c>
      <c r="E17" s="4">
        <v>43</v>
      </c>
      <c r="F17" s="2" t="s">
        <v>13</v>
      </c>
      <c r="G17" s="2" t="s">
        <v>26</v>
      </c>
      <c r="H17" s="2" t="s">
        <v>14</v>
      </c>
    </row>
    <row r="18" spans="1:8" x14ac:dyDescent="0.35">
      <c r="A18" s="2" t="s">
        <v>33</v>
      </c>
      <c r="B18" s="2" t="s">
        <v>34</v>
      </c>
      <c r="C18" s="2" t="s">
        <v>11</v>
      </c>
      <c r="D18" s="2" t="s">
        <v>23</v>
      </c>
      <c r="E18" s="4">
        <v>18</v>
      </c>
      <c r="F18" s="2" t="s">
        <v>16</v>
      </c>
      <c r="G18" s="2" t="s">
        <v>14</v>
      </c>
      <c r="H18" s="2" t="s">
        <v>14</v>
      </c>
    </row>
    <row r="19" spans="1:8" x14ac:dyDescent="0.35">
      <c r="A19" s="2" t="s">
        <v>36</v>
      </c>
      <c r="B19" s="2" t="s">
        <v>34</v>
      </c>
      <c r="C19" s="2" t="s">
        <v>11</v>
      </c>
      <c r="D19" s="2" t="s">
        <v>23</v>
      </c>
      <c r="E19" s="4">
        <v>16</v>
      </c>
      <c r="F19" s="2" t="s">
        <v>16</v>
      </c>
      <c r="G19" s="2" t="s">
        <v>14</v>
      </c>
      <c r="H19" s="2" t="s">
        <v>14</v>
      </c>
    </row>
    <row r="20" spans="1:8" x14ac:dyDescent="0.35">
      <c r="A20" s="1" t="s">
        <v>37</v>
      </c>
      <c r="B20" s="1" t="s">
        <v>10</v>
      </c>
      <c r="C20" s="2" t="s">
        <v>11</v>
      </c>
      <c r="D20" s="1" t="s">
        <v>12</v>
      </c>
      <c r="E20" s="3">
        <v>24</v>
      </c>
      <c r="F20" s="3" t="s">
        <v>13</v>
      </c>
      <c r="G20" s="3" t="s">
        <v>26</v>
      </c>
      <c r="H20" s="3" t="s">
        <v>26</v>
      </c>
    </row>
    <row r="21" spans="1:8" x14ac:dyDescent="0.35">
      <c r="A21" s="1" t="s">
        <v>38</v>
      </c>
      <c r="B21" s="1" t="s">
        <v>10</v>
      </c>
      <c r="C21" s="2" t="s">
        <v>11</v>
      </c>
      <c r="D21" s="1" t="s">
        <v>12</v>
      </c>
      <c r="E21" s="3">
        <v>16</v>
      </c>
      <c r="F21" s="3" t="s">
        <v>16</v>
      </c>
      <c r="G21" s="3" t="s">
        <v>14</v>
      </c>
      <c r="H21" s="3" t="s">
        <v>26</v>
      </c>
    </row>
    <row r="22" spans="1:8" x14ac:dyDescent="0.35">
      <c r="A22" s="1" t="s">
        <v>39</v>
      </c>
      <c r="B22" s="1" t="s">
        <v>10</v>
      </c>
      <c r="C22" s="2" t="s">
        <v>11</v>
      </c>
      <c r="D22" s="1" t="s">
        <v>12</v>
      </c>
      <c r="E22" s="3">
        <v>7</v>
      </c>
      <c r="F22" s="3" t="s">
        <v>13</v>
      </c>
      <c r="G22" s="3" t="s">
        <v>14</v>
      </c>
      <c r="H22" s="3" t="s">
        <v>26</v>
      </c>
    </row>
    <row r="23" spans="1:8" x14ac:dyDescent="0.35">
      <c r="A23" s="1" t="s">
        <v>40</v>
      </c>
      <c r="B23" s="1" t="s">
        <v>10</v>
      </c>
      <c r="C23" s="2" t="s">
        <v>11</v>
      </c>
      <c r="D23" s="1" t="s">
        <v>12</v>
      </c>
      <c r="E23" s="3">
        <v>16</v>
      </c>
      <c r="F23" s="3" t="s">
        <v>13</v>
      </c>
      <c r="G23" s="3" t="s">
        <v>14</v>
      </c>
      <c r="H23" s="3" t="s">
        <v>26</v>
      </c>
    </row>
    <row r="24" spans="1:8" x14ac:dyDescent="0.35">
      <c r="A24" s="1" t="s">
        <v>41</v>
      </c>
      <c r="B24" s="1" t="s">
        <v>10</v>
      </c>
      <c r="C24" s="2" t="s">
        <v>11</v>
      </c>
      <c r="D24" s="1" t="s">
        <v>12</v>
      </c>
      <c r="E24" s="3">
        <v>20</v>
      </c>
      <c r="F24" s="3" t="s">
        <v>16</v>
      </c>
      <c r="G24" s="3" t="s">
        <v>14</v>
      </c>
      <c r="H24" s="3" t="s">
        <v>26</v>
      </c>
    </row>
    <row r="25" spans="1:8" x14ac:dyDescent="0.35">
      <c r="A25" s="1" t="s">
        <v>42</v>
      </c>
      <c r="B25" s="1" t="s">
        <v>34</v>
      </c>
      <c r="C25" s="1" t="s">
        <v>11</v>
      </c>
      <c r="D25" s="1" t="s">
        <v>12</v>
      </c>
      <c r="E25" s="3">
        <v>29</v>
      </c>
      <c r="F25" s="3" t="s">
        <v>13</v>
      </c>
      <c r="G25" s="3" t="s">
        <v>14</v>
      </c>
      <c r="H25" s="3" t="s">
        <v>26</v>
      </c>
    </row>
    <row r="26" spans="1:8" x14ac:dyDescent="0.35">
      <c r="A26" s="2" t="s">
        <v>43</v>
      </c>
      <c r="B26" s="2" t="s">
        <v>10</v>
      </c>
      <c r="C26" s="2" t="s">
        <v>11</v>
      </c>
      <c r="D26" s="2" t="s">
        <v>23</v>
      </c>
      <c r="E26" s="4">
        <v>20</v>
      </c>
      <c r="F26" s="2" t="s">
        <v>16</v>
      </c>
      <c r="G26" s="2" t="s">
        <v>26</v>
      </c>
      <c r="H26" s="2" t="s">
        <v>26</v>
      </c>
    </row>
    <row r="27" spans="1:8" x14ac:dyDescent="0.35">
      <c r="A27" s="2" t="s">
        <v>44</v>
      </c>
      <c r="B27" s="2" t="s">
        <v>10</v>
      </c>
      <c r="C27" s="2" t="s">
        <v>11</v>
      </c>
      <c r="D27" s="2" t="s">
        <v>23</v>
      </c>
      <c r="E27" s="4">
        <v>46</v>
      </c>
      <c r="F27" s="2" t="s">
        <v>16</v>
      </c>
      <c r="G27" s="2" t="s">
        <v>14</v>
      </c>
      <c r="H27" s="2" t="s">
        <v>26</v>
      </c>
    </row>
    <row r="28" spans="1:8" x14ac:dyDescent="0.35">
      <c r="A28" s="2" t="s">
        <v>45</v>
      </c>
      <c r="B28" s="2" t="s">
        <v>10</v>
      </c>
      <c r="C28" s="2" t="s">
        <v>11</v>
      </c>
      <c r="D28" s="2" t="s">
        <v>23</v>
      </c>
      <c r="E28" s="4">
        <v>19</v>
      </c>
      <c r="F28" s="2" t="s">
        <v>13</v>
      </c>
      <c r="G28" s="2" t="s">
        <v>26</v>
      </c>
      <c r="H28" s="2" t="s">
        <v>26</v>
      </c>
    </row>
    <row r="29" spans="1:8" x14ac:dyDescent="0.35">
      <c r="A29" s="2" t="s">
        <v>46</v>
      </c>
      <c r="B29" s="2" t="s">
        <v>10</v>
      </c>
      <c r="C29" s="2" t="s">
        <v>11</v>
      </c>
      <c r="D29" s="2" t="s">
        <v>23</v>
      </c>
      <c r="E29" s="4">
        <v>22</v>
      </c>
      <c r="F29" s="2" t="s">
        <v>16</v>
      </c>
      <c r="G29" s="2" t="s">
        <v>26</v>
      </c>
      <c r="H29" s="2" t="s">
        <v>26</v>
      </c>
    </row>
    <row r="30" spans="1:8" x14ac:dyDescent="0.35">
      <c r="A30" s="2" t="s">
        <v>47</v>
      </c>
      <c r="B30" s="2" t="s">
        <v>10</v>
      </c>
      <c r="C30" s="2" t="s">
        <v>11</v>
      </c>
      <c r="D30" s="2" t="s">
        <v>23</v>
      </c>
      <c r="E30" s="4">
        <v>29</v>
      </c>
      <c r="F30" s="2" t="s">
        <v>13</v>
      </c>
      <c r="G30" s="2" t="s">
        <v>14</v>
      </c>
      <c r="H30" s="2" t="s">
        <v>26</v>
      </c>
    </row>
    <row r="31" spans="1:8" x14ac:dyDescent="0.35">
      <c r="A31" s="2" t="s">
        <v>48</v>
      </c>
      <c r="B31" s="2" t="s">
        <v>10</v>
      </c>
      <c r="C31" s="2" t="s">
        <v>11</v>
      </c>
      <c r="D31" s="2" t="s">
        <v>23</v>
      </c>
      <c r="E31" s="4">
        <v>20</v>
      </c>
      <c r="F31" s="2" t="s">
        <v>16</v>
      </c>
      <c r="G31" s="2" t="s">
        <v>14</v>
      </c>
      <c r="H31" s="2" t="s">
        <v>26</v>
      </c>
    </row>
    <row r="32" spans="1:8" x14ac:dyDescent="0.35">
      <c r="A32" s="2" t="s">
        <v>49</v>
      </c>
      <c r="B32" s="2" t="s">
        <v>10</v>
      </c>
      <c r="C32" s="2" t="s">
        <v>11</v>
      </c>
      <c r="D32" s="2" t="s">
        <v>23</v>
      </c>
      <c r="E32" s="4">
        <v>42</v>
      </c>
      <c r="F32" s="2" t="s">
        <v>16</v>
      </c>
      <c r="G32" s="2" t="s">
        <v>14</v>
      </c>
      <c r="H32" s="2" t="s">
        <v>26</v>
      </c>
    </row>
    <row r="33" spans="1:8" x14ac:dyDescent="0.35">
      <c r="A33" s="2" t="s">
        <v>50</v>
      </c>
      <c r="B33" s="2" t="s">
        <v>10</v>
      </c>
      <c r="C33" s="2" t="s">
        <v>11</v>
      </c>
      <c r="D33" s="2" t="s">
        <v>23</v>
      </c>
      <c r="E33" s="4">
        <v>20</v>
      </c>
      <c r="F33" s="2" t="s">
        <v>13</v>
      </c>
      <c r="G33" s="2" t="s">
        <v>14</v>
      </c>
      <c r="H33" s="2" t="s">
        <v>26</v>
      </c>
    </row>
    <row r="34" spans="1:8" x14ac:dyDescent="0.35">
      <c r="A34" s="2" t="s">
        <v>51</v>
      </c>
      <c r="B34" s="6" t="s">
        <v>10</v>
      </c>
      <c r="C34" s="2" t="s">
        <v>11</v>
      </c>
      <c r="D34" s="2" t="s">
        <v>23</v>
      </c>
      <c r="E34" s="4">
        <v>24</v>
      </c>
      <c r="F34" s="2" t="s">
        <v>16</v>
      </c>
      <c r="G34" s="2" t="s">
        <v>14</v>
      </c>
      <c r="H34" s="2" t="s">
        <v>26</v>
      </c>
    </row>
    <row r="35" spans="1:8" x14ac:dyDescent="0.35">
      <c r="A35" s="2" t="s">
        <v>52</v>
      </c>
      <c r="B35" s="2" t="s">
        <v>34</v>
      </c>
      <c r="C35" s="2" t="s">
        <v>11</v>
      </c>
      <c r="D35" s="2" t="s">
        <v>23</v>
      </c>
      <c r="E35" s="4">
        <v>45</v>
      </c>
      <c r="F35" s="2" t="s">
        <v>13</v>
      </c>
      <c r="G35" s="2" t="s">
        <v>26</v>
      </c>
      <c r="H35" s="2" t="s">
        <v>26</v>
      </c>
    </row>
    <row r="36" spans="1:8" x14ac:dyDescent="0.35">
      <c r="A36" s="2" t="s">
        <v>53</v>
      </c>
      <c r="B36" s="2" t="s">
        <v>34</v>
      </c>
      <c r="C36" s="2" t="s">
        <v>11</v>
      </c>
      <c r="D36" s="2" t="s">
        <v>23</v>
      </c>
      <c r="E36" s="4">
        <v>37</v>
      </c>
      <c r="F36" s="2" t="s">
        <v>16</v>
      </c>
      <c r="G36" s="2" t="s">
        <v>14</v>
      </c>
      <c r="H36" s="2" t="s">
        <v>26</v>
      </c>
    </row>
    <row r="37" spans="1:8" x14ac:dyDescent="0.35">
      <c r="A37" s="2" t="s">
        <v>54</v>
      </c>
      <c r="B37" s="2" t="s">
        <v>34</v>
      </c>
      <c r="C37" s="2" t="s">
        <v>11</v>
      </c>
      <c r="D37" s="2" t="s">
        <v>23</v>
      </c>
      <c r="E37" s="4">
        <v>67</v>
      </c>
      <c r="F37" s="2" t="s">
        <v>13</v>
      </c>
      <c r="G37" s="2" t="s">
        <v>14</v>
      </c>
      <c r="H37" s="2" t="s">
        <v>26</v>
      </c>
    </row>
    <row r="38" spans="1:8" x14ac:dyDescent="0.35">
      <c r="A38" s="2" t="s">
        <v>55</v>
      </c>
      <c r="B38" s="2" t="s">
        <v>34</v>
      </c>
      <c r="C38" s="2" t="s">
        <v>11</v>
      </c>
      <c r="D38" s="2" t="s">
        <v>23</v>
      </c>
      <c r="E38" s="4">
        <v>24</v>
      </c>
      <c r="F38" s="2" t="s">
        <v>16</v>
      </c>
      <c r="G38" s="2" t="s">
        <v>14</v>
      </c>
      <c r="H38" s="2" t="s">
        <v>26</v>
      </c>
    </row>
    <row r="39" spans="1:8" x14ac:dyDescent="0.35">
      <c r="A39" s="1" t="s">
        <v>77</v>
      </c>
      <c r="B39" s="1" t="s">
        <v>34</v>
      </c>
      <c r="C39" s="1" t="s">
        <v>11</v>
      </c>
      <c r="D39" s="1" t="s">
        <v>23</v>
      </c>
      <c r="E39" s="1">
        <v>23</v>
      </c>
      <c r="F39" s="1" t="s">
        <v>13</v>
      </c>
      <c r="G39" s="1" t="s">
        <v>14</v>
      </c>
      <c r="H39" s="1" t="s">
        <v>14</v>
      </c>
    </row>
    <row r="40" spans="1:8" x14ac:dyDescent="0.35">
      <c r="A40" s="2" t="s">
        <v>78</v>
      </c>
      <c r="B40">
        <f>COUNTIF(B2:B39,"*1.5T*")</f>
        <v>30</v>
      </c>
      <c r="C40">
        <f>COUNTIF(C2:C39,"*patients*")</f>
        <v>38</v>
      </c>
      <c r="D40">
        <f>COUNTIF(D2:D39,"*positive*")</f>
        <v>25</v>
      </c>
      <c r="E40" s="4">
        <f>MEDIAN(E2:E39)</f>
        <v>21</v>
      </c>
      <c r="F40">
        <f>COUNTIF(F2:F39,"*m*")</f>
        <v>18</v>
      </c>
      <c r="G40">
        <f>COUNTIF(G2:G39,"*D*")</f>
        <v>29</v>
      </c>
      <c r="H40" s="2"/>
    </row>
    <row r="41" spans="1:8" x14ac:dyDescent="0.35">
      <c r="A41" s="1" t="s">
        <v>79</v>
      </c>
      <c r="B41">
        <f>COUNTIF(B2:B39,"*3T*")</f>
        <v>8</v>
      </c>
      <c r="C41" s="2"/>
      <c r="D41">
        <f>COUNTIF(D2:D39,"*negative*")</f>
        <v>13</v>
      </c>
      <c r="E41" s="4">
        <f>QUARTILE(E2:E39,1)</f>
        <v>16</v>
      </c>
      <c r="F41">
        <f>COUNTIF(F2:F39,"*f*")</f>
        <v>20</v>
      </c>
      <c r="G41">
        <f>COUNTIF(G2:G39,"*D*")</f>
        <v>29</v>
      </c>
      <c r="H41" s="2"/>
    </row>
    <row r="42" spans="1:8" x14ac:dyDescent="0.35">
      <c r="A42" s="2" t="s">
        <v>80</v>
      </c>
      <c r="B42" s="2"/>
      <c r="C42" s="2"/>
      <c r="D42" s="2"/>
      <c r="E42" s="4">
        <f>QUARTILE(E2:E39,3)</f>
        <v>31.25</v>
      </c>
      <c r="F42" s="2"/>
      <c r="G42" s="2"/>
      <c r="H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U17"/>
  <sheetViews>
    <sheetView workbookViewId="0">
      <selection activeCell="I1" sqref="I1:J1048576"/>
    </sheetView>
  </sheetViews>
  <sheetFormatPr baseColWidth="10" defaultRowHeight="10.5" x14ac:dyDescent="0.35"/>
  <sheetData>
    <row r="1" spans="1:1009" ht="9" customHeight="1" x14ac:dyDescent="0.35">
      <c r="A1" s="2" t="s">
        <v>0</v>
      </c>
      <c r="B1" s="2" t="s">
        <v>1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</row>
    <row r="2" spans="1:1009" ht="10.35" customHeight="1" x14ac:dyDescent="0.35">
      <c r="A2" s="1" t="s">
        <v>9</v>
      </c>
      <c r="B2" s="1" t="s">
        <v>10</v>
      </c>
      <c r="C2" s="2" t="s">
        <v>11</v>
      </c>
      <c r="D2" s="1" t="s">
        <v>12</v>
      </c>
      <c r="E2" s="3">
        <v>12</v>
      </c>
      <c r="F2" s="3" t="s">
        <v>13</v>
      </c>
      <c r="G2" s="3" t="s">
        <v>14</v>
      </c>
      <c r="H2" s="3" t="s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</row>
    <row r="3" spans="1:1009" ht="10.35" customHeight="1" x14ac:dyDescent="0.35">
      <c r="A3" s="1" t="s">
        <v>15</v>
      </c>
      <c r="B3" s="1" t="s">
        <v>10</v>
      </c>
      <c r="C3" s="2" t="s">
        <v>11</v>
      </c>
      <c r="D3" s="1" t="s">
        <v>12</v>
      </c>
      <c r="E3" s="3">
        <v>11</v>
      </c>
      <c r="F3" s="3" t="s">
        <v>16</v>
      </c>
      <c r="G3" s="3" t="s">
        <v>14</v>
      </c>
      <c r="H3" s="3" t="s">
        <v>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</row>
    <row r="4" spans="1:1009" ht="10.35" customHeight="1" x14ac:dyDescent="0.35">
      <c r="A4" s="1" t="s">
        <v>17</v>
      </c>
      <c r="B4" s="1" t="s">
        <v>10</v>
      </c>
      <c r="C4" s="2" t="s">
        <v>11</v>
      </c>
      <c r="D4" s="1" t="s">
        <v>12</v>
      </c>
      <c r="E4" s="3">
        <v>12</v>
      </c>
      <c r="F4" s="3" t="s">
        <v>16</v>
      </c>
      <c r="G4" s="3" t="s">
        <v>14</v>
      </c>
      <c r="H4" s="3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</row>
    <row r="5" spans="1:1009" ht="10.35" customHeight="1" x14ac:dyDescent="0.35">
      <c r="A5" s="1" t="s">
        <v>18</v>
      </c>
      <c r="B5" s="1" t="s">
        <v>10</v>
      </c>
      <c r="C5" s="2" t="s">
        <v>11</v>
      </c>
      <c r="D5" s="1" t="s">
        <v>12</v>
      </c>
      <c r="E5" s="3">
        <v>17</v>
      </c>
      <c r="F5" s="3" t="s">
        <v>13</v>
      </c>
      <c r="G5" s="3" t="s">
        <v>14</v>
      </c>
      <c r="H5" s="3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</row>
    <row r="6" spans="1:1009" ht="10.35" customHeight="1" x14ac:dyDescent="0.35">
      <c r="A6" s="1" t="s">
        <v>19</v>
      </c>
      <c r="B6" s="1" t="s">
        <v>10</v>
      </c>
      <c r="C6" s="2" t="s">
        <v>11</v>
      </c>
      <c r="D6" s="1" t="s">
        <v>12</v>
      </c>
      <c r="E6" s="3">
        <v>7</v>
      </c>
      <c r="F6" s="3" t="s">
        <v>13</v>
      </c>
      <c r="G6" s="3" t="s">
        <v>14</v>
      </c>
      <c r="H6" s="3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</row>
    <row r="7" spans="1:1009" ht="10.35" customHeight="1" x14ac:dyDescent="0.35">
      <c r="A7" s="1" t="s">
        <v>20</v>
      </c>
      <c r="B7" s="1" t="s">
        <v>10</v>
      </c>
      <c r="C7" s="2" t="s">
        <v>11</v>
      </c>
      <c r="D7" s="1" t="s">
        <v>12</v>
      </c>
      <c r="E7" s="3">
        <v>42</v>
      </c>
      <c r="F7" s="3" t="s">
        <v>13</v>
      </c>
      <c r="G7" s="3" t="s">
        <v>14</v>
      </c>
      <c r="H7" s="3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</row>
    <row r="8" spans="1:1009" ht="10.35" customHeight="1" x14ac:dyDescent="0.35">
      <c r="A8" s="1" t="s">
        <v>21</v>
      </c>
      <c r="B8" s="1" t="s">
        <v>10</v>
      </c>
      <c r="C8" s="2" t="s">
        <v>11</v>
      </c>
      <c r="D8" s="1" t="s">
        <v>12</v>
      </c>
      <c r="E8" s="3">
        <v>9</v>
      </c>
      <c r="F8" s="3" t="s">
        <v>13</v>
      </c>
      <c r="G8" s="3" t="s">
        <v>14</v>
      </c>
      <c r="H8" s="3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</row>
    <row r="9" spans="1:1009" ht="10.35" customHeight="1" x14ac:dyDescent="0.35">
      <c r="A9" s="1" t="s">
        <v>38</v>
      </c>
      <c r="B9" s="1" t="s">
        <v>10</v>
      </c>
      <c r="C9" s="2" t="s">
        <v>11</v>
      </c>
      <c r="D9" s="1" t="s">
        <v>12</v>
      </c>
      <c r="E9" s="3">
        <v>16</v>
      </c>
      <c r="F9" s="3" t="s">
        <v>16</v>
      </c>
      <c r="G9" s="3" t="s">
        <v>14</v>
      </c>
      <c r="H9" s="3" t="s">
        <v>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</row>
    <row r="10" spans="1:1009" ht="9.75" customHeight="1" x14ac:dyDescent="0.35">
      <c r="A10" s="1" t="s">
        <v>39</v>
      </c>
      <c r="B10" s="1" t="s">
        <v>10</v>
      </c>
      <c r="C10" s="2" t="s">
        <v>11</v>
      </c>
      <c r="D10" s="1" t="s">
        <v>12</v>
      </c>
      <c r="E10" s="3">
        <v>7</v>
      </c>
      <c r="F10" s="3" t="s">
        <v>13</v>
      </c>
      <c r="G10" s="3" t="s">
        <v>14</v>
      </c>
      <c r="H10" s="3" t="s">
        <v>26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</row>
    <row r="11" spans="1:1009" ht="10.35" customHeight="1" x14ac:dyDescent="0.35">
      <c r="A11" s="1" t="s">
        <v>40</v>
      </c>
      <c r="B11" s="1" t="s">
        <v>10</v>
      </c>
      <c r="C11" s="2" t="s">
        <v>11</v>
      </c>
      <c r="D11" s="1" t="s">
        <v>12</v>
      </c>
      <c r="E11" s="3">
        <v>16</v>
      </c>
      <c r="F11" s="3" t="s">
        <v>13</v>
      </c>
      <c r="G11" s="3" t="s">
        <v>14</v>
      </c>
      <c r="H11" s="3" t="s">
        <v>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</row>
    <row r="12" spans="1:1009" ht="10.35" customHeight="1" x14ac:dyDescent="0.35">
      <c r="A12" s="1" t="s">
        <v>41</v>
      </c>
      <c r="B12" s="1" t="s">
        <v>10</v>
      </c>
      <c r="C12" s="2" t="s">
        <v>11</v>
      </c>
      <c r="D12" s="1" t="s">
        <v>12</v>
      </c>
      <c r="E12" s="3">
        <v>20</v>
      </c>
      <c r="F12" s="3" t="s">
        <v>16</v>
      </c>
      <c r="G12" s="3" t="s">
        <v>14</v>
      </c>
      <c r="H12" s="3" t="s">
        <v>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</row>
    <row r="13" spans="1:1009" ht="10.35" customHeight="1" x14ac:dyDescent="0.35">
      <c r="A13" s="1" t="s">
        <v>42</v>
      </c>
      <c r="B13" s="1" t="s">
        <v>34</v>
      </c>
      <c r="C13" s="1" t="s">
        <v>11</v>
      </c>
      <c r="D13" s="1" t="s">
        <v>12</v>
      </c>
      <c r="E13" s="3">
        <v>29</v>
      </c>
      <c r="F13" s="3" t="s">
        <v>13</v>
      </c>
      <c r="G13" s="3" t="s">
        <v>14</v>
      </c>
      <c r="H13" s="3" t="s">
        <v>26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</row>
    <row r="14" spans="1:1009" ht="10.35" customHeight="1" x14ac:dyDescent="0.35">
      <c r="A14" s="2" t="s">
        <v>78</v>
      </c>
      <c r="B14">
        <f>COUNTIF(B2:B13,"*1.5T*")</f>
        <v>11</v>
      </c>
      <c r="C14">
        <f>COUNTIF(C2:C13,"*patients*")</f>
        <v>12</v>
      </c>
      <c r="D14">
        <f>COUNTIF(D2:D13,"*positive*")</f>
        <v>0</v>
      </c>
      <c r="E14" s="4">
        <f>MEDIAN(E2:E13)</f>
        <v>14</v>
      </c>
      <c r="F14">
        <f>COUNTIF(F2:F13,"*m*")</f>
        <v>4</v>
      </c>
      <c r="G14">
        <f>COUNTIF(G2:G13,"*D*")</f>
        <v>12</v>
      </c>
      <c r="H14">
        <f>COUNTIF(H2:H13,"*D*")</f>
        <v>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</row>
    <row r="15" spans="1:1009" ht="10.35" customHeight="1" x14ac:dyDescent="0.35">
      <c r="A15" s="1" t="s">
        <v>79</v>
      </c>
      <c r="B15">
        <f>COUNTIF(B2:B13,"*3T*")</f>
        <v>1</v>
      </c>
      <c r="C15" s="2"/>
      <c r="D15">
        <f>COUNTIF(D2:D13,"*negative*")</f>
        <v>12</v>
      </c>
      <c r="E15" s="4">
        <f>QUARTILE(E2:E13,1)</f>
        <v>10.5</v>
      </c>
      <c r="F15">
        <f>COUNTIF(F2:F13,"*f*")</f>
        <v>8</v>
      </c>
      <c r="G15">
        <f>COUNTIF(G2:G13,"*G*")</f>
        <v>0</v>
      </c>
      <c r="H15" s="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</row>
    <row r="16" spans="1:1009" ht="10.35" customHeight="1" x14ac:dyDescent="0.35">
      <c r="A16" s="2" t="s">
        <v>80</v>
      </c>
      <c r="B16" s="2"/>
      <c r="C16" s="2"/>
      <c r="D16" s="2"/>
      <c r="E16" s="4">
        <f>QUARTILE(E2:E13,3)</f>
        <v>17.75</v>
      </c>
      <c r="F16" s="2"/>
      <c r="G16" s="2"/>
      <c r="H16" s="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</row>
    <row r="17" spans="1:8" x14ac:dyDescent="0.35">
      <c r="A17" s="1" t="s">
        <v>81</v>
      </c>
      <c r="B17">
        <f>B14*100/C14</f>
        <v>91.666666666666671</v>
      </c>
      <c r="H17">
        <f>H14*100/C14</f>
        <v>58.333333333333336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U22"/>
  <sheetViews>
    <sheetView workbookViewId="0">
      <selection activeCell="I1" sqref="I1:J1048576"/>
    </sheetView>
  </sheetViews>
  <sheetFormatPr baseColWidth="10" defaultRowHeight="10.5" x14ac:dyDescent="0.35"/>
  <sheetData>
    <row r="1" spans="1:1009" ht="9" customHeight="1" x14ac:dyDescent="0.35">
      <c r="A1" s="2" t="s">
        <v>0</v>
      </c>
      <c r="B1" s="2" t="s">
        <v>1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</row>
    <row r="2" spans="1:1009" ht="10.35" customHeight="1" x14ac:dyDescent="0.35">
      <c r="A2" s="2" t="s">
        <v>22</v>
      </c>
      <c r="B2" s="2" t="s">
        <v>10</v>
      </c>
      <c r="C2" s="2" t="s">
        <v>11</v>
      </c>
      <c r="D2" s="2" t="s">
        <v>23</v>
      </c>
      <c r="E2" s="4">
        <v>19</v>
      </c>
      <c r="F2" s="2" t="s">
        <v>16</v>
      </c>
      <c r="G2" s="2" t="s">
        <v>14</v>
      </c>
      <c r="H2" s="2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</row>
    <row r="3" spans="1:1009" ht="10.35" customHeight="1" x14ac:dyDescent="0.35">
      <c r="A3" s="2" t="s">
        <v>24</v>
      </c>
      <c r="B3" s="2" t="s">
        <v>10</v>
      </c>
      <c r="C3" s="2" t="s">
        <v>11</v>
      </c>
      <c r="D3" s="2" t="s">
        <v>23</v>
      </c>
      <c r="E3" s="4">
        <v>29</v>
      </c>
      <c r="F3" s="2" t="s">
        <v>16</v>
      </c>
      <c r="G3" s="2" t="s">
        <v>14</v>
      </c>
      <c r="H3" s="2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</row>
    <row r="4" spans="1:1009" ht="10.35" customHeight="1" x14ac:dyDescent="0.35">
      <c r="A4" s="2" t="s">
        <v>27</v>
      </c>
      <c r="B4" s="2" t="s">
        <v>10</v>
      </c>
      <c r="C4" s="2" t="s">
        <v>11</v>
      </c>
      <c r="D4" s="2" t="s">
        <v>23</v>
      </c>
      <c r="E4" s="4">
        <v>13</v>
      </c>
      <c r="F4" s="2" t="s">
        <v>16</v>
      </c>
      <c r="G4" s="2" t="s">
        <v>14</v>
      </c>
      <c r="H4" s="2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</row>
    <row r="5" spans="1:1009" ht="10.35" customHeight="1" x14ac:dyDescent="0.35">
      <c r="A5" s="2" t="s">
        <v>29</v>
      </c>
      <c r="B5" s="2" t="s">
        <v>10</v>
      </c>
      <c r="C5" s="2" t="s">
        <v>11</v>
      </c>
      <c r="D5" s="2" t="s">
        <v>23</v>
      </c>
      <c r="E5" s="4">
        <v>40</v>
      </c>
      <c r="F5" s="2" t="s">
        <v>13</v>
      </c>
      <c r="G5" s="2" t="s">
        <v>14</v>
      </c>
      <c r="H5" s="2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</row>
    <row r="6" spans="1:1009" ht="10.35" customHeight="1" x14ac:dyDescent="0.35">
      <c r="A6" s="2" t="s">
        <v>30</v>
      </c>
      <c r="B6" s="2" t="s">
        <v>10</v>
      </c>
      <c r="C6" s="2" t="s">
        <v>11</v>
      </c>
      <c r="D6" s="2" t="s">
        <v>23</v>
      </c>
      <c r="E6" s="4">
        <v>11</v>
      </c>
      <c r="F6" s="2" t="s">
        <v>13</v>
      </c>
      <c r="G6" s="2" t="s">
        <v>14</v>
      </c>
      <c r="H6" s="2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</row>
    <row r="7" spans="1:1009" ht="10.35" customHeight="1" x14ac:dyDescent="0.35">
      <c r="A7" s="2" t="s">
        <v>33</v>
      </c>
      <c r="B7" s="2" t="s">
        <v>34</v>
      </c>
      <c r="C7" s="2" t="s">
        <v>11</v>
      </c>
      <c r="D7" s="2" t="s">
        <v>23</v>
      </c>
      <c r="E7" s="4">
        <v>18</v>
      </c>
      <c r="F7" s="2" t="s">
        <v>16</v>
      </c>
      <c r="G7" s="2" t="s">
        <v>14</v>
      </c>
      <c r="H7" s="2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</row>
    <row r="8" spans="1:1009" ht="10.35" customHeight="1" x14ac:dyDescent="0.35">
      <c r="A8" s="2" t="s">
        <v>36</v>
      </c>
      <c r="B8" s="2" t="s">
        <v>34</v>
      </c>
      <c r="C8" s="2" t="s">
        <v>11</v>
      </c>
      <c r="D8" s="2" t="s">
        <v>23</v>
      </c>
      <c r="E8" s="4">
        <v>16</v>
      </c>
      <c r="F8" s="2" t="s">
        <v>16</v>
      </c>
      <c r="G8" s="2" t="s">
        <v>14</v>
      </c>
      <c r="H8" s="2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</row>
    <row r="9" spans="1:1009" ht="10.35" customHeight="1" x14ac:dyDescent="0.35">
      <c r="A9" s="2" t="s">
        <v>44</v>
      </c>
      <c r="B9" s="2" t="s">
        <v>10</v>
      </c>
      <c r="C9" s="2" t="s">
        <v>11</v>
      </c>
      <c r="D9" s="2" t="s">
        <v>23</v>
      </c>
      <c r="E9" s="4">
        <v>46</v>
      </c>
      <c r="F9" s="2" t="s">
        <v>16</v>
      </c>
      <c r="G9" s="2" t="s">
        <v>14</v>
      </c>
      <c r="H9" s="2" t="s">
        <v>26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</row>
    <row r="10" spans="1:1009" ht="10.35" customHeight="1" x14ac:dyDescent="0.35">
      <c r="A10" s="2" t="s">
        <v>47</v>
      </c>
      <c r="B10" s="2" t="s">
        <v>10</v>
      </c>
      <c r="C10" s="2" t="s">
        <v>11</v>
      </c>
      <c r="D10" s="2" t="s">
        <v>23</v>
      </c>
      <c r="E10" s="4">
        <v>29</v>
      </c>
      <c r="F10" s="2" t="s">
        <v>13</v>
      </c>
      <c r="G10" s="2" t="s">
        <v>14</v>
      </c>
      <c r="H10" s="2" t="s">
        <v>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</row>
    <row r="11" spans="1:1009" ht="10.35" customHeight="1" x14ac:dyDescent="0.35">
      <c r="A11" s="2" t="s">
        <v>48</v>
      </c>
      <c r="B11" s="2" t="s">
        <v>10</v>
      </c>
      <c r="C11" s="2" t="s">
        <v>11</v>
      </c>
      <c r="D11" s="2" t="s">
        <v>23</v>
      </c>
      <c r="E11" s="4">
        <v>20</v>
      </c>
      <c r="F11" s="2" t="s">
        <v>16</v>
      </c>
      <c r="G11" s="2" t="s">
        <v>14</v>
      </c>
      <c r="H11" s="2" t="s">
        <v>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</row>
    <row r="12" spans="1:1009" ht="10.35" customHeight="1" x14ac:dyDescent="0.35">
      <c r="A12" s="2" t="s">
        <v>49</v>
      </c>
      <c r="B12" s="2" t="s">
        <v>10</v>
      </c>
      <c r="C12" s="2" t="s">
        <v>11</v>
      </c>
      <c r="D12" s="2" t="s">
        <v>23</v>
      </c>
      <c r="E12" s="4">
        <v>42</v>
      </c>
      <c r="F12" s="2" t="s">
        <v>16</v>
      </c>
      <c r="G12" s="2" t="s">
        <v>14</v>
      </c>
      <c r="H12" s="2" t="s">
        <v>26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</row>
    <row r="13" spans="1:1009" ht="10.35" customHeight="1" x14ac:dyDescent="0.35">
      <c r="A13" s="2" t="s">
        <v>50</v>
      </c>
      <c r="B13" s="2" t="s">
        <v>10</v>
      </c>
      <c r="C13" s="2" t="s">
        <v>11</v>
      </c>
      <c r="D13" s="2" t="s">
        <v>23</v>
      </c>
      <c r="E13" s="4">
        <v>20</v>
      </c>
      <c r="F13" s="2" t="s">
        <v>13</v>
      </c>
      <c r="G13" s="2" t="s">
        <v>14</v>
      </c>
      <c r="H13" s="2" t="s">
        <v>26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</row>
    <row r="14" spans="1:1009" ht="10.35" customHeight="1" x14ac:dyDescent="0.35">
      <c r="A14" s="2" t="s">
        <v>51</v>
      </c>
      <c r="B14" s="6" t="s">
        <v>10</v>
      </c>
      <c r="C14" s="2" t="s">
        <v>11</v>
      </c>
      <c r="D14" s="2" t="s">
        <v>23</v>
      </c>
      <c r="E14" s="4">
        <v>24</v>
      </c>
      <c r="F14" s="2" t="s">
        <v>16</v>
      </c>
      <c r="G14" s="2" t="s">
        <v>14</v>
      </c>
      <c r="H14" s="2" t="s">
        <v>26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</row>
    <row r="15" spans="1:1009" ht="10.35" customHeight="1" x14ac:dyDescent="0.35">
      <c r="A15" s="2" t="s">
        <v>53</v>
      </c>
      <c r="B15" s="2" t="s">
        <v>34</v>
      </c>
      <c r="C15" s="2" t="s">
        <v>11</v>
      </c>
      <c r="D15" s="2" t="s">
        <v>23</v>
      </c>
      <c r="E15" s="4">
        <v>37</v>
      </c>
      <c r="F15" s="2" t="s">
        <v>16</v>
      </c>
      <c r="G15" s="2" t="s">
        <v>14</v>
      </c>
      <c r="H15" s="2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</row>
    <row r="16" spans="1:1009" ht="10.35" customHeight="1" x14ac:dyDescent="0.35">
      <c r="A16" s="2" t="s">
        <v>54</v>
      </c>
      <c r="B16" s="2" t="s">
        <v>34</v>
      </c>
      <c r="C16" s="2" t="s">
        <v>11</v>
      </c>
      <c r="D16" s="2" t="s">
        <v>23</v>
      </c>
      <c r="E16" s="4">
        <v>67</v>
      </c>
      <c r="F16" s="2" t="s">
        <v>13</v>
      </c>
      <c r="G16" s="2" t="s">
        <v>14</v>
      </c>
      <c r="H16" s="2" t="s">
        <v>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</row>
    <row r="17" spans="1:1009" ht="10.35" customHeight="1" x14ac:dyDescent="0.35">
      <c r="A17" s="2" t="s">
        <v>55</v>
      </c>
      <c r="B17" s="2" t="s">
        <v>34</v>
      </c>
      <c r="C17" s="2" t="s">
        <v>11</v>
      </c>
      <c r="D17" s="2" t="s">
        <v>23</v>
      </c>
      <c r="E17" s="4">
        <v>24</v>
      </c>
      <c r="F17" s="2" t="s">
        <v>16</v>
      </c>
      <c r="G17" s="2" t="s">
        <v>14</v>
      </c>
      <c r="H17" s="2" t="s">
        <v>26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</row>
    <row r="18" spans="1:1009" ht="10.35" customHeight="1" x14ac:dyDescent="0.35">
      <c r="A18" s="1" t="s">
        <v>77</v>
      </c>
      <c r="B18" s="1" t="s">
        <v>34</v>
      </c>
      <c r="C18" s="1" t="s">
        <v>11</v>
      </c>
      <c r="D18" s="1" t="s">
        <v>23</v>
      </c>
      <c r="E18" s="1">
        <v>23</v>
      </c>
      <c r="F18" s="1" t="s">
        <v>13</v>
      </c>
      <c r="G18" s="1" t="s">
        <v>14</v>
      </c>
      <c r="H18" s="1" t="s">
        <v>14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</row>
    <row r="19" spans="1:1009" ht="10.35" customHeight="1" x14ac:dyDescent="0.35">
      <c r="A19" s="2" t="s">
        <v>78</v>
      </c>
      <c r="B19">
        <f>COUNTIF(B2:B18,"*1.5T*")</f>
        <v>11</v>
      </c>
      <c r="C19">
        <f>COUNTIF(C2:C18,"*patients*")</f>
        <v>17</v>
      </c>
      <c r="D19">
        <f>COUNTIF(D2:D18,"*positive*")</f>
        <v>17</v>
      </c>
      <c r="E19" s="4">
        <f>MEDIAN(E2:E18)</f>
        <v>24</v>
      </c>
      <c r="F19">
        <f>COUNTIF(F2:F18,"*m*")</f>
        <v>11</v>
      </c>
      <c r="G19">
        <f>COUNTIF(G2:G18,"*D*")</f>
        <v>17</v>
      </c>
      <c r="H19">
        <f>COUNTIF(H2:H18,"*D*")</f>
        <v>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</row>
    <row r="20" spans="1:1009" ht="10.35" customHeight="1" x14ac:dyDescent="0.35">
      <c r="A20" s="1" t="s">
        <v>79</v>
      </c>
      <c r="B20">
        <f>COUNTIF(B2:B18,"*3T*")</f>
        <v>6</v>
      </c>
      <c r="C20" s="2"/>
      <c r="D20">
        <f>COUNTIF(D2:D18,"*negative*")</f>
        <v>0</v>
      </c>
      <c r="E20" s="4">
        <f>QUARTILE(E2:E18,1)</f>
        <v>19</v>
      </c>
      <c r="F20">
        <f>COUNTIF(F2:F18,"*f*")</f>
        <v>6</v>
      </c>
      <c r="G20">
        <f>COUNTIF(G2:G18,"*G*")</f>
        <v>0</v>
      </c>
      <c r="H20" s="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</row>
    <row r="21" spans="1:1009" ht="10.35" customHeight="1" x14ac:dyDescent="0.35">
      <c r="A21" s="2" t="s">
        <v>80</v>
      </c>
      <c r="B21" s="2"/>
      <c r="C21" s="2"/>
      <c r="D21" s="2"/>
      <c r="E21" s="4">
        <f>QUARTILE(E2:E18,3)</f>
        <v>37</v>
      </c>
      <c r="F21" s="2"/>
      <c r="G21" s="2"/>
      <c r="H21" s="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</row>
    <row r="22" spans="1:1009" x14ac:dyDescent="0.35">
      <c r="A22" s="1" t="s">
        <v>81</v>
      </c>
      <c r="B22">
        <f>B19*100/C19</f>
        <v>64.705882352941174</v>
      </c>
      <c r="H22">
        <f>H19*100/C19</f>
        <v>47.058823529411768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T34"/>
  <sheetViews>
    <sheetView workbookViewId="0">
      <selection activeCell="I1" sqref="I1:K1048576"/>
    </sheetView>
  </sheetViews>
  <sheetFormatPr baseColWidth="10" defaultRowHeight="10.5" x14ac:dyDescent="0.35"/>
  <sheetData>
    <row r="1" spans="1:1008" ht="9" customHeight="1" x14ac:dyDescent="0.35">
      <c r="A1" s="2" t="s">
        <v>0</v>
      </c>
      <c r="B1" s="2" t="s">
        <v>1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</row>
    <row r="2" spans="1:1008" ht="10.35" customHeight="1" x14ac:dyDescent="0.35">
      <c r="A2" s="1" t="s">
        <v>9</v>
      </c>
      <c r="B2" s="1" t="s">
        <v>10</v>
      </c>
      <c r="C2" s="2" t="s">
        <v>11</v>
      </c>
      <c r="D2" s="1" t="s">
        <v>12</v>
      </c>
      <c r="E2" s="3">
        <v>12</v>
      </c>
      <c r="F2" s="3" t="s">
        <v>13</v>
      </c>
      <c r="G2" s="3" t="s">
        <v>14</v>
      </c>
      <c r="H2" s="3" t="s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</row>
    <row r="3" spans="1:1008" ht="10.35" customHeight="1" x14ac:dyDescent="0.35">
      <c r="A3" s="1" t="s">
        <v>15</v>
      </c>
      <c r="B3" s="1" t="s">
        <v>10</v>
      </c>
      <c r="C3" s="2" t="s">
        <v>11</v>
      </c>
      <c r="D3" s="1" t="s">
        <v>12</v>
      </c>
      <c r="E3" s="3">
        <v>11</v>
      </c>
      <c r="F3" s="3" t="s">
        <v>16</v>
      </c>
      <c r="G3" s="3" t="s">
        <v>14</v>
      </c>
      <c r="H3" s="3" t="s">
        <v>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</row>
    <row r="4" spans="1:1008" ht="10.35" customHeight="1" x14ac:dyDescent="0.35">
      <c r="A4" s="1" t="s">
        <v>17</v>
      </c>
      <c r="B4" s="1" t="s">
        <v>10</v>
      </c>
      <c r="C4" s="2" t="s">
        <v>11</v>
      </c>
      <c r="D4" s="1" t="s">
        <v>12</v>
      </c>
      <c r="E4" s="3">
        <v>12</v>
      </c>
      <c r="F4" s="3" t="s">
        <v>16</v>
      </c>
      <c r="G4" s="3" t="s">
        <v>14</v>
      </c>
      <c r="H4" s="3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</row>
    <row r="5" spans="1:1008" ht="10.35" customHeight="1" x14ac:dyDescent="0.35">
      <c r="A5" s="1" t="s">
        <v>18</v>
      </c>
      <c r="B5" s="1" t="s">
        <v>10</v>
      </c>
      <c r="C5" s="2" t="s">
        <v>11</v>
      </c>
      <c r="D5" s="1" t="s">
        <v>12</v>
      </c>
      <c r="E5" s="3">
        <v>17</v>
      </c>
      <c r="F5" s="3" t="s">
        <v>13</v>
      </c>
      <c r="G5" s="3" t="s">
        <v>14</v>
      </c>
      <c r="H5" s="3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</row>
    <row r="6" spans="1:1008" ht="10.35" customHeight="1" x14ac:dyDescent="0.35">
      <c r="A6" s="1" t="s">
        <v>19</v>
      </c>
      <c r="B6" s="1" t="s">
        <v>10</v>
      </c>
      <c r="C6" s="2" t="s">
        <v>11</v>
      </c>
      <c r="D6" s="1" t="s">
        <v>12</v>
      </c>
      <c r="E6" s="3">
        <v>7</v>
      </c>
      <c r="F6" s="3" t="s">
        <v>13</v>
      </c>
      <c r="G6" s="3" t="s">
        <v>14</v>
      </c>
      <c r="H6" s="3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</row>
    <row r="7" spans="1:1008" ht="10.35" customHeight="1" x14ac:dyDescent="0.35">
      <c r="A7" s="1" t="s">
        <v>20</v>
      </c>
      <c r="B7" s="1" t="s">
        <v>10</v>
      </c>
      <c r="C7" s="2" t="s">
        <v>11</v>
      </c>
      <c r="D7" s="1" t="s">
        <v>12</v>
      </c>
      <c r="E7" s="3">
        <v>42</v>
      </c>
      <c r="F7" s="3" t="s">
        <v>13</v>
      </c>
      <c r="G7" s="3" t="s">
        <v>14</v>
      </c>
      <c r="H7" s="3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</row>
    <row r="8" spans="1:1008" ht="10.35" customHeight="1" x14ac:dyDescent="0.35">
      <c r="A8" s="1" t="s">
        <v>21</v>
      </c>
      <c r="B8" s="1" t="s">
        <v>10</v>
      </c>
      <c r="C8" s="2" t="s">
        <v>11</v>
      </c>
      <c r="D8" s="1" t="s">
        <v>12</v>
      </c>
      <c r="E8" s="3">
        <v>9</v>
      </c>
      <c r="F8" s="3" t="s">
        <v>13</v>
      </c>
      <c r="G8" s="3" t="s">
        <v>14</v>
      </c>
      <c r="H8" s="3" t="s">
        <v>14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</row>
    <row r="9" spans="1:1008" ht="10.35" customHeight="1" x14ac:dyDescent="0.35">
      <c r="A9" s="2" t="s">
        <v>22</v>
      </c>
      <c r="B9" s="2" t="s">
        <v>10</v>
      </c>
      <c r="C9" s="2" t="s">
        <v>11</v>
      </c>
      <c r="D9" s="2" t="s">
        <v>23</v>
      </c>
      <c r="E9" s="4">
        <v>19</v>
      </c>
      <c r="F9" s="2" t="s">
        <v>16</v>
      </c>
      <c r="G9" s="2" t="s">
        <v>14</v>
      </c>
      <c r="H9" s="2" t="s">
        <v>14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</row>
    <row r="10" spans="1:1008" ht="10.35" customHeight="1" x14ac:dyDescent="0.35">
      <c r="A10" s="2" t="s">
        <v>24</v>
      </c>
      <c r="B10" s="2" t="s">
        <v>10</v>
      </c>
      <c r="C10" s="2" t="s">
        <v>11</v>
      </c>
      <c r="D10" s="2" t="s">
        <v>23</v>
      </c>
      <c r="E10" s="4">
        <v>29</v>
      </c>
      <c r="F10" s="2" t="s">
        <v>16</v>
      </c>
      <c r="G10" s="2" t="s">
        <v>14</v>
      </c>
      <c r="H10" s="2" t="s">
        <v>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</row>
    <row r="11" spans="1:1008" ht="10.35" customHeight="1" x14ac:dyDescent="0.35">
      <c r="A11" s="2" t="s">
        <v>27</v>
      </c>
      <c r="B11" s="2" t="s">
        <v>10</v>
      </c>
      <c r="C11" s="2" t="s">
        <v>11</v>
      </c>
      <c r="D11" s="2" t="s">
        <v>23</v>
      </c>
      <c r="E11" s="4">
        <v>13</v>
      </c>
      <c r="F11" s="2" t="s">
        <v>16</v>
      </c>
      <c r="G11" s="2" t="s">
        <v>14</v>
      </c>
      <c r="H11" s="2" t="s">
        <v>14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</row>
    <row r="12" spans="1:1008" ht="10.35" customHeight="1" x14ac:dyDescent="0.35">
      <c r="A12" s="2" t="s">
        <v>29</v>
      </c>
      <c r="B12" s="2" t="s">
        <v>10</v>
      </c>
      <c r="C12" s="2" t="s">
        <v>11</v>
      </c>
      <c r="D12" s="2" t="s">
        <v>23</v>
      </c>
      <c r="E12" s="4">
        <v>40</v>
      </c>
      <c r="F12" s="2" t="s">
        <v>13</v>
      </c>
      <c r="G12" s="2" t="s">
        <v>14</v>
      </c>
      <c r="H12" s="2" t="s">
        <v>14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</row>
    <row r="13" spans="1:1008" ht="10.35" customHeight="1" x14ac:dyDescent="0.35">
      <c r="A13" s="2" t="s">
        <v>30</v>
      </c>
      <c r="B13" s="2" t="s">
        <v>10</v>
      </c>
      <c r="C13" s="2" t="s">
        <v>11</v>
      </c>
      <c r="D13" s="2" t="s">
        <v>23</v>
      </c>
      <c r="E13" s="4">
        <v>11</v>
      </c>
      <c r="F13" s="2" t="s">
        <v>13</v>
      </c>
      <c r="G13" s="2" t="s">
        <v>14</v>
      </c>
      <c r="H13" s="2" t="s">
        <v>14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</row>
    <row r="14" spans="1:1008" ht="10.35" customHeight="1" x14ac:dyDescent="0.35">
      <c r="A14" s="2" t="s">
        <v>33</v>
      </c>
      <c r="B14" s="2" t="s">
        <v>34</v>
      </c>
      <c r="C14" s="2" t="s">
        <v>11</v>
      </c>
      <c r="D14" s="2" t="s">
        <v>23</v>
      </c>
      <c r="E14" s="4">
        <v>18</v>
      </c>
      <c r="F14" s="2" t="s">
        <v>16</v>
      </c>
      <c r="G14" s="2" t="s">
        <v>14</v>
      </c>
      <c r="H14" s="2" t="s">
        <v>14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</row>
    <row r="15" spans="1:1008" ht="10.35" customHeight="1" x14ac:dyDescent="0.35">
      <c r="A15" s="2" t="s">
        <v>36</v>
      </c>
      <c r="B15" s="2" t="s">
        <v>34</v>
      </c>
      <c r="C15" s="2" t="s">
        <v>11</v>
      </c>
      <c r="D15" s="2" t="s">
        <v>23</v>
      </c>
      <c r="E15" s="4">
        <v>16</v>
      </c>
      <c r="F15" s="2" t="s">
        <v>16</v>
      </c>
      <c r="G15" s="2" t="s">
        <v>14</v>
      </c>
      <c r="H15" s="2" t="s">
        <v>14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</row>
    <row r="16" spans="1:1008" ht="10.35" customHeight="1" x14ac:dyDescent="0.35">
      <c r="A16" s="1" t="s">
        <v>38</v>
      </c>
      <c r="B16" s="1" t="s">
        <v>10</v>
      </c>
      <c r="C16" s="2" t="s">
        <v>11</v>
      </c>
      <c r="D16" s="1" t="s">
        <v>12</v>
      </c>
      <c r="E16" s="3">
        <v>16</v>
      </c>
      <c r="F16" s="3" t="s">
        <v>16</v>
      </c>
      <c r="G16" s="3" t="s">
        <v>14</v>
      </c>
      <c r="H16" s="3" t="s">
        <v>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</row>
    <row r="17" spans="1:1008" ht="9.75" customHeight="1" x14ac:dyDescent="0.35">
      <c r="A17" s="1" t="s">
        <v>39</v>
      </c>
      <c r="B17" s="1" t="s">
        <v>10</v>
      </c>
      <c r="C17" s="2" t="s">
        <v>11</v>
      </c>
      <c r="D17" s="1" t="s">
        <v>12</v>
      </c>
      <c r="E17" s="3">
        <v>7</v>
      </c>
      <c r="F17" s="3" t="s">
        <v>13</v>
      </c>
      <c r="G17" s="3" t="s">
        <v>14</v>
      </c>
      <c r="H17" s="3" t="s">
        <v>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</row>
    <row r="18" spans="1:1008" ht="10.35" customHeight="1" x14ac:dyDescent="0.35">
      <c r="A18" s="1" t="s">
        <v>40</v>
      </c>
      <c r="B18" s="1" t="s">
        <v>10</v>
      </c>
      <c r="C18" s="2" t="s">
        <v>11</v>
      </c>
      <c r="D18" s="1" t="s">
        <v>12</v>
      </c>
      <c r="E18" s="3">
        <v>16</v>
      </c>
      <c r="F18" s="3" t="s">
        <v>13</v>
      </c>
      <c r="G18" s="3" t="s">
        <v>14</v>
      </c>
      <c r="H18" s="3" t="s">
        <v>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</row>
    <row r="19" spans="1:1008" ht="10.35" customHeight="1" x14ac:dyDescent="0.35">
      <c r="A19" s="1" t="s">
        <v>41</v>
      </c>
      <c r="B19" s="1" t="s">
        <v>10</v>
      </c>
      <c r="C19" s="2" t="s">
        <v>11</v>
      </c>
      <c r="D19" s="1" t="s">
        <v>12</v>
      </c>
      <c r="E19" s="3">
        <v>20</v>
      </c>
      <c r="F19" s="3" t="s">
        <v>16</v>
      </c>
      <c r="G19" s="3" t="s">
        <v>14</v>
      </c>
      <c r="H19" s="3" t="s">
        <v>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</row>
    <row r="20" spans="1:1008" ht="10.35" customHeight="1" x14ac:dyDescent="0.35">
      <c r="A20" s="1" t="s">
        <v>42</v>
      </c>
      <c r="B20" s="1" t="s">
        <v>34</v>
      </c>
      <c r="C20" s="1" t="s">
        <v>11</v>
      </c>
      <c r="D20" s="1" t="s">
        <v>12</v>
      </c>
      <c r="E20" s="3">
        <v>29</v>
      </c>
      <c r="F20" s="3" t="s">
        <v>13</v>
      </c>
      <c r="G20" s="3" t="s">
        <v>14</v>
      </c>
      <c r="H20" s="3" t="s">
        <v>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</row>
    <row r="21" spans="1:1008" ht="10.35" customHeight="1" x14ac:dyDescent="0.35">
      <c r="A21" s="2" t="s">
        <v>44</v>
      </c>
      <c r="B21" s="2" t="s">
        <v>10</v>
      </c>
      <c r="C21" s="2" t="s">
        <v>11</v>
      </c>
      <c r="D21" s="2" t="s">
        <v>23</v>
      </c>
      <c r="E21" s="4">
        <v>46</v>
      </c>
      <c r="F21" s="2" t="s">
        <v>16</v>
      </c>
      <c r="G21" s="2" t="s">
        <v>14</v>
      </c>
      <c r="H21" s="2" t="s">
        <v>26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</row>
    <row r="22" spans="1:1008" ht="10.35" customHeight="1" x14ac:dyDescent="0.35">
      <c r="A22" s="2" t="s">
        <v>47</v>
      </c>
      <c r="B22" s="2" t="s">
        <v>10</v>
      </c>
      <c r="C22" s="2" t="s">
        <v>11</v>
      </c>
      <c r="D22" s="2" t="s">
        <v>23</v>
      </c>
      <c r="E22" s="4">
        <v>29</v>
      </c>
      <c r="F22" s="2" t="s">
        <v>13</v>
      </c>
      <c r="G22" s="2" t="s">
        <v>14</v>
      </c>
      <c r="H22" s="2" t="s">
        <v>26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</row>
    <row r="23" spans="1:1008" ht="10.35" customHeight="1" x14ac:dyDescent="0.35">
      <c r="A23" s="2" t="s">
        <v>48</v>
      </c>
      <c r="B23" s="2" t="s">
        <v>10</v>
      </c>
      <c r="C23" s="2" t="s">
        <v>11</v>
      </c>
      <c r="D23" s="2" t="s">
        <v>23</v>
      </c>
      <c r="E23" s="4">
        <v>20</v>
      </c>
      <c r="F23" s="2" t="s">
        <v>16</v>
      </c>
      <c r="G23" s="2" t="s">
        <v>14</v>
      </c>
      <c r="H23" s="2" t="s">
        <v>26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</row>
    <row r="24" spans="1:1008" ht="10.35" customHeight="1" x14ac:dyDescent="0.35">
      <c r="A24" s="2" t="s">
        <v>49</v>
      </c>
      <c r="B24" s="2" t="s">
        <v>10</v>
      </c>
      <c r="C24" s="2" t="s">
        <v>11</v>
      </c>
      <c r="D24" s="2" t="s">
        <v>23</v>
      </c>
      <c r="E24" s="4">
        <v>42</v>
      </c>
      <c r="F24" s="2" t="s">
        <v>16</v>
      </c>
      <c r="G24" s="2" t="s">
        <v>14</v>
      </c>
      <c r="H24" s="2" t="s">
        <v>26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</row>
    <row r="25" spans="1:1008" ht="10.35" customHeight="1" x14ac:dyDescent="0.35">
      <c r="A25" s="2" t="s">
        <v>50</v>
      </c>
      <c r="B25" s="2" t="s">
        <v>10</v>
      </c>
      <c r="C25" s="2" t="s">
        <v>11</v>
      </c>
      <c r="D25" s="2" t="s">
        <v>23</v>
      </c>
      <c r="E25" s="4">
        <v>20</v>
      </c>
      <c r="F25" s="2" t="s">
        <v>13</v>
      </c>
      <c r="G25" s="2" t="s">
        <v>14</v>
      </c>
      <c r="H25" s="2" t="s">
        <v>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</row>
    <row r="26" spans="1:1008" ht="10.35" customHeight="1" x14ac:dyDescent="0.35">
      <c r="A26" s="2" t="s">
        <v>51</v>
      </c>
      <c r="B26" s="6" t="s">
        <v>10</v>
      </c>
      <c r="C26" s="2" t="s">
        <v>11</v>
      </c>
      <c r="D26" s="2" t="s">
        <v>23</v>
      </c>
      <c r="E26" s="4">
        <v>24</v>
      </c>
      <c r="F26" s="2" t="s">
        <v>16</v>
      </c>
      <c r="G26" s="2" t="s">
        <v>14</v>
      </c>
      <c r="H26" s="2" t="s">
        <v>26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</row>
    <row r="27" spans="1:1008" ht="10.35" customHeight="1" x14ac:dyDescent="0.35">
      <c r="A27" s="2" t="s">
        <v>53</v>
      </c>
      <c r="B27" s="2" t="s">
        <v>34</v>
      </c>
      <c r="C27" s="2" t="s">
        <v>11</v>
      </c>
      <c r="D27" s="2" t="s">
        <v>23</v>
      </c>
      <c r="E27" s="4">
        <v>37</v>
      </c>
      <c r="F27" s="2" t="s">
        <v>16</v>
      </c>
      <c r="G27" s="2" t="s">
        <v>14</v>
      </c>
      <c r="H27" s="2" t="s">
        <v>26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</row>
    <row r="28" spans="1:1008" ht="10.35" customHeight="1" x14ac:dyDescent="0.35">
      <c r="A28" s="2" t="s">
        <v>54</v>
      </c>
      <c r="B28" s="2" t="s">
        <v>34</v>
      </c>
      <c r="C28" s="2" t="s">
        <v>11</v>
      </c>
      <c r="D28" s="2" t="s">
        <v>23</v>
      </c>
      <c r="E28" s="4">
        <v>67</v>
      </c>
      <c r="F28" s="2" t="s">
        <v>13</v>
      </c>
      <c r="G28" s="2" t="s">
        <v>14</v>
      </c>
      <c r="H28" s="2" t="s">
        <v>26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</row>
    <row r="29" spans="1:1008" ht="10.35" customHeight="1" x14ac:dyDescent="0.35">
      <c r="A29" s="2" t="s">
        <v>55</v>
      </c>
      <c r="B29" s="2" t="s">
        <v>34</v>
      </c>
      <c r="C29" s="2" t="s">
        <v>11</v>
      </c>
      <c r="D29" s="2" t="s">
        <v>23</v>
      </c>
      <c r="E29" s="4">
        <v>24</v>
      </c>
      <c r="F29" s="2" t="s">
        <v>16</v>
      </c>
      <c r="G29" s="2" t="s">
        <v>14</v>
      </c>
      <c r="H29" s="2" t="s">
        <v>26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</row>
    <row r="30" spans="1:1008" ht="10.35" customHeight="1" x14ac:dyDescent="0.35">
      <c r="A30" s="1" t="s">
        <v>77</v>
      </c>
      <c r="B30" s="1" t="s">
        <v>34</v>
      </c>
      <c r="C30" s="1" t="s">
        <v>11</v>
      </c>
      <c r="D30" s="1" t="s">
        <v>23</v>
      </c>
      <c r="E30" s="1">
        <v>23</v>
      </c>
      <c r="F30" s="1" t="s">
        <v>13</v>
      </c>
      <c r="G30" s="1" t="s">
        <v>14</v>
      </c>
      <c r="H30" s="1" t="s">
        <v>14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</row>
    <row r="31" spans="1:1008" ht="10.35" customHeight="1" x14ac:dyDescent="0.35">
      <c r="A31" s="2" t="s">
        <v>78</v>
      </c>
      <c r="B31">
        <f>COUNTIF(B2:B30,"*1.5T*")</f>
        <v>22</v>
      </c>
      <c r="C31">
        <f>COUNTIF(C2:C30,"*patients*")</f>
        <v>29</v>
      </c>
      <c r="D31">
        <f>COUNTIF(D2:D30,"*positive*")</f>
        <v>17</v>
      </c>
      <c r="E31" s="4">
        <f>MEDIAN(E2:E30)</f>
        <v>20</v>
      </c>
      <c r="F31">
        <f>COUNTIF(F2:F30,"*m*")</f>
        <v>15</v>
      </c>
      <c r="G31">
        <f>COUNTIF(G2:G30,"*D*")</f>
        <v>29</v>
      </c>
      <c r="H31" s="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</row>
    <row r="32" spans="1:1008" ht="10.35" customHeight="1" x14ac:dyDescent="0.35">
      <c r="A32" s="1" t="s">
        <v>79</v>
      </c>
      <c r="B32">
        <f>COUNTIF(B2:B30,"*3T*")</f>
        <v>7</v>
      </c>
      <c r="C32" s="2"/>
      <c r="D32">
        <f>COUNTIF(D2:D30,"*negative*")</f>
        <v>12</v>
      </c>
      <c r="E32" s="4">
        <f>QUARTILE(E2:E30,1)</f>
        <v>13</v>
      </c>
      <c r="F32">
        <f>COUNTIF(F2:F30,"*f*")</f>
        <v>14</v>
      </c>
      <c r="G32">
        <f>COUNTIF(G2:G30,"*G*")</f>
        <v>0</v>
      </c>
      <c r="H32" s="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</row>
    <row r="33" spans="1:1008" ht="10.35" customHeight="1" x14ac:dyDescent="0.35">
      <c r="A33" s="2" t="s">
        <v>80</v>
      </c>
      <c r="B33" s="2"/>
      <c r="C33" s="2"/>
      <c r="D33" s="2"/>
      <c r="E33" s="4">
        <f>QUARTILE(E2:E30,3)</f>
        <v>29</v>
      </c>
      <c r="F33" s="2"/>
      <c r="G33" s="2"/>
      <c r="H33" s="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</row>
    <row r="34" spans="1:1008" x14ac:dyDescent="0.35">
      <c r="A34" s="1" t="s">
        <v>81</v>
      </c>
      <c r="B34">
        <f>B31*100/C31</f>
        <v>75.862068965517238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W30"/>
  <sheetViews>
    <sheetView workbookViewId="0">
      <selection activeCell="A2" sqref="A2:A20"/>
    </sheetView>
  </sheetViews>
  <sheetFormatPr baseColWidth="10" defaultRowHeight="10.5" x14ac:dyDescent="0.35"/>
  <sheetData>
    <row r="1" spans="1:1011" ht="9" customHeight="1" x14ac:dyDescent="0.35">
      <c r="A1" s="2" t="s">
        <v>0</v>
      </c>
      <c r="B1" s="2" t="s">
        <v>1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</row>
    <row r="2" spans="1:1011" ht="10.35" customHeight="1" x14ac:dyDescent="0.35">
      <c r="A2" s="2" t="s">
        <v>56</v>
      </c>
      <c r="B2" s="7" t="s">
        <v>10</v>
      </c>
      <c r="C2" s="2" t="s">
        <v>57</v>
      </c>
      <c r="D2" s="2" t="s">
        <v>12</v>
      </c>
      <c r="E2" s="4">
        <v>22</v>
      </c>
      <c r="F2" s="2" t="s">
        <v>13</v>
      </c>
      <c r="G2" s="2" t="s">
        <v>14</v>
      </c>
      <c r="H2" s="2" t="s">
        <v>58</v>
      </c>
      <c r="I2" s="7" t="s">
        <v>35</v>
      </c>
      <c r="J2" s="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</row>
    <row r="3" spans="1:1011" ht="10.35" customHeight="1" x14ac:dyDescent="0.35">
      <c r="A3" s="2" t="s">
        <v>59</v>
      </c>
      <c r="B3" s="7" t="s">
        <v>10</v>
      </c>
      <c r="C3" s="2" t="s">
        <v>57</v>
      </c>
      <c r="D3" s="2" t="s">
        <v>12</v>
      </c>
      <c r="E3" s="4">
        <v>32</v>
      </c>
      <c r="F3" s="2" t="s">
        <v>16</v>
      </c>
      <c r="G3" s="2" t="s">
        <v>14</v>
      </c>
      <c r="H3" s="2" t="s">
        <v>58</v>
      </c>
      <c r="I3" s="7" t="s">
        <v>35</v>
      </c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</row>
    <row r="4" spans="1:1011" ht="10.35" customHeight="1" x14ac:dyDescent="0.35">
      <c r="A4" s="2" t="s">
        <v>60</v>
      </c>
      <c r="B4" s="7" t="s">
        <v>10</v>
      </c>
      <c r="C4" s="2" t="s">
        <v>57</v>
      </c>
      <c r="D4" s="2" t="s">
        <v>12</v>
      </c>
      <c r="E4" s="4">
        <v>50</v>
      </c>
      <c r="F4" s="2" t="s">
        <v>13</v>
      </c>
      <c r="G4" s="2" t="s">
        <v>14</v>
      </c>
      <c r="H4" s="2" t="s">
        <v>58</v>
      </c>
      <c r="I4" s="7" t="s">
        <v>35</v>
      </c>
      <c r="J4" s="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</row>
    <row r="5" spans="1:1011" ht="10.35" customHeight="1" x14ac:dyDescent="0.35">
      <c r="A5" s="2" t="s">
        <v>61</v>
      </c>
      <c r="B5" s="7" t="s">
        <v>10</v>
      </c>
      <c r="C5" s="2" t="s">
        <v>57</v>
      </c>
      <c r="D5" s="2" t="s">
        <v>12</v>
      </c>
      <c r="E5" s="4">
        <v>53</v>
      </c>
      <c r="F5" s="2" t="s">
        <v>16</v>
      </c>
      <c r="G5" s="2" t="s">
        <v>14</v>
      </c>
      <c r="H5" s="2" t="s">
        <v>58</v>
      </c>
      <c r="I5" s="7" t="s">
        <v>35</v>
      </c>
      <c r="J5" s="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</row>
    <row r="6" spans="1:1011" ht="10.35" customHeight="1" x14ac:dyDescent="0.35">
      <c r="A6" s="2" t="s">
        <v>62</v>
      </c>
      <c r="B6" s="7" t="s">
        <v>10</v>
      </c>
      <c r="C6" s="2" t="s">
        <v>57</v>
      </c>
      <c r="D6" s="2" t="s">
        <v>12</v>
      </c>
      <c r="E6" s="4">
        <v>23</v>
      </c>
      <c r="F6" s="2" t="s">
        <v>13</v>
      </c>
      <c r="G6" s="2" t="s">
        <v>14</v>
      </c>
      <c r="H6" s="2" t="s">
        <v>58</v>
      </c>
      <c r="I6" s="7" t="s">
        <v>35</v>
      </c>
      <c r="J6" s="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</row>
    <row r="7" spans="1:1011" ht="10.35" customHeight="1" x14ac:dyDescent="0.35">
      <c r="A7" s="2" t="s">
        <v>63</v>
      </c>
      <c r="B7" s="7" t="s">
        <v>10</v>
      </c>
      <c r="C7" s="2" t="s">
        <v>57</v>
      </c>
      <c r="D7" s="2" t="s">
        <v>12</v>
      </c>
      <c r="E7" s="4">
        <v>31</v>
      </c>
      <c r="F7" s="2" t="s">
        <v>13</v>
      </c>
      <c r="G7" s="2" t="s">
        <v>14</v>
      </c>
      <c r="H7" s="2" t="s">
        <v>58</v>
      </c>
      <c r="I7" s="7" t="s">
        <v>35</v>
      </c>
      <c r="J7" s="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</row>
    <row r="8" spans="1:1011" ht="10.35" customHeight="1" x14ac:dyDescent="0.35">
      <c r="A8" s="2" t="s">
        <v>64</v>
      </c>
      <c r="B8" s="7" t="s">
        <v>10</v>
      </c>
      <c r="C8" s="2" t="s">
        <v>57</v>
      </c>
      <c r="D8" s="2" t="s">
        <v>12</v>
      </c>
      <c r="E8" s="4">
        <v>26</v>
      </c>
      <c r="F8" s="2" t="s">
        <v>13</v>
      </c>
      <c r="G8" s="2" t="s">
        <v>14</v>
      </c>
      <c r="H8" s="2" t="s">
        <v>58</v>
      </c>
      <c r="I8" s="7" t="s">
        <v>35</v>
      </c>
      <c r="J8" s="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</row>
    <row r="9" spans="1:1011" ht="10.35" customHeight="1" x14ac:dyDescent="0.35">
      <c r="A9" s="2" t="s">
        <v>65</v>
      </c>
      <c r="B9" s="7" t="s">
        <v>10</v>
      </c>
      <c r="C9" s="2" t="s">
        <v>57</v>
      </c>
      <c r="D9" s="2" t="s">
        <v>12</v>
      </c>
      <c r="E9" s="4">
        <v>24</v>
      </c>
      <c r="F9" s="2" t="s">
        <v>16</v>
      </c>
      <c r="G9" s="2" t="s">
        <v>14</v>
      </c>
      <c r="H9" s="2" t="s">
        <v>58</v>
      </c>
      <c r="I9" s="7" t="s">
        <v>35</v>
      </c>
      <c r="J9" s="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</row>
    <row r="10" spans="1:1011" ht="10.35" customHeight="1" x14ac:dyDescent="0.35">
      <c r="A10" s="2" t="s">
        <v>66</v>
      </c>
      <c r="B10" s="7" t="s">
        <v>10</v>
      </c>
      <c r="C10" s="2" t="s">
        <v>57</v>
      </c>
      <c r="D10" s="2" t="s">
        <v>12</v>
      </c>
      <c r="E10" s="4">
        <v>38</v>
      </c>
      <c r="F10" s="2" t="s">
        <v>16</v>
      </c>
      <c r="G10" s="2" t="s">
        <v>14</v>
      </c>
      <c r="H10" s="2" t="s">
        <v>58</v>
      </c>
      <c r="I10" s="7" t="s">
        <v>35</v>
      </c>
      <c r="J10" s="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</row>
    <row r="11" spans="1:1011" ht="10.35" customHeight="1" x14ac:dyDescent="0.35">
      <c r="A11" s="2" t="s">
        <v>67</v>
      </c>
      <c r="B11" s="7" t="s">
        <v>10</v>
      </c>
      <c r="C11" s="2" t="s">
        <v>57</v>
      </c>
      <c r="D11" s="2" t="s">
        <v>12</v>
      </c>
      <c r="E11" s="4">
        <v>31</v>
      </c>
      <c r="F11" s="2" t="s">
        <v>16</v>
      </c>
      <c r="G11" s="2" t="s">
        <v>14</v>
      </c>
      <c r="H11" s="2" t="s">
        <v>58</v>
      </c>
      <c r="I11" s="7" t="s">
        <v>35</v>
      </c>
      <c r="J11" s="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</row>
    <row r="12" spans="1:1011" ht="10.35" customHeight="1" x14ac:dyDescent="0.35">
      <c r="A12" s="2" t="s">
        <v>68</v>
      </c>
      <c r="B12" s="7" t="s">
        <v>10</v>
      </c>
      <c r="C12" s="2" t="s">
        <v>57</v>
      </c>
      <c r="D12" s="2" t="s">
        <v>12</v>
      </c>
      <c r="E12" s="4">
        <v>27</v>
      </c>
      <c r="F12" s="2" t="s">
        <v>13</v>
      </c>
      <c r="G12" s="2" t="s">
        <v>14</v>
      </c>
      <c r="H12" s="2" t="s">
        <v>58</v>
      </c>
      <c r="I12" s="7" t="s">
        <v>35</v>
      </c>
      <c r="J12" s="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</row>
    <row r="13" spans="1:1011" ht="10.35" customHeight="1" x14ac:dyDescent="0.35">
      <c r="A13" s="2" t="s">
        <v>69</v>
      </c>
      <c r="B13" s="7" t="s">
        <v>10</v>
      </c>
      <c r="C13" s="2" t="s">
        <v>57</v>
      </c>
      <c r="D13" s="2" t="s">
        <v>12</v>
      </c>
      <c r="E13" s="4">
        <v>24</v>
      </c>
      <c r="F13" s="2" t="s">
        <v>13</v>
      </c>
      <c r="G13" s="2" t="s">
        <v>14</v>
      </c>
      <c r="H13" s="2" t="s">
        <v>58</v>
      </c>
      <c r="I13" s="7" t="s">
        <v>35</v>
      </c>
      <c r="J13" s="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</row>
    <row r="14" spans="1:1011" ht="10.35" customHeight="1" x14ac:dyDescent="0.35">
      <c r="A14" s="2" t="s">
        <v>70</v>
      </c>
      <c r="B14" s="7" t="s">
        <v>10</v>
      </c>
      <c r="C14" s="2" t="s">
        <v>57</v>
      </c>
      <c r="D14" s="2" t="s">
        <v>12</v>
      </c>
      <c r="E14" s="4">
        <v>34</v>
      </c>
      <c r="F14" s="2" t="s">
        <v>13</v>
      </c>
      <c r="G14" s="2" t="s">
        <v>14</v>
      </c>
      <c r="H14" s="2" t="s">
        <v>58</v>
      </c>
      <c r="I14" s="7" t="s">
        <v>35</v>
      </c>
      <c r="J14" s="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</row>
    <row r="15" spans="1:1011" ht="10.35" customHeight="1" x14ac:dyDescent="0.35">
      <c r="A15" s="2" t="s">
        <v>71</v>
      </c>
      <c r="B15" s="7" t="s">
        <v>10</v>
      </c>
      <c r="C15" s="2" t="s">
        <v>57</v>
      </c>
      <c r="D15" s="2" t="s">
        <v>12</v>
      </c>
      <c r="E15" s="4">
        <v>24</v>
      </c>
      <c r="F15" s="2" t="s">
        <v>16</v>
      </c>
      <c r="G15" s="2" t="s">
        <v>14</v>
      </c>
      <c r="H15" s="2" t="s">
        <v>58</v>
      </c>
      <c r="I15" s="7" t="s">
        <v>35</v>
      </c>
      <c r="J15" s="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</row>
    <row r="16" spans="1:1011" ht="10.35" customHeight="1" x14ac:dyDescent="0.35">
      <c r="A16" s="2" t="s">
        <v>72</v>
      </c>
      <c r="B16" s="7" t="s">
        <v>10</v>
      </c>
      <c r="C16" s="2" t="s">
        <v>57</v>
      </c>
      <c r="D16" s="2" t="s">
        <v>12</v>
      </c>
      <c r="E16" s="4">
        <v>25</v>
      </c>
      <c r="F16" s="2" t="s">
        <v>16</v>
      </c>
      <c r="G16" s="2" t="s">
        <v>14</v>
      </c>
      <c r="H16" s="2" t="s">
        <v>58</v>
      </c>
      <c r="I16" s="7" t="s">
        <v>35</v>
      </c>
      <c r="J16" s="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</row>
    <row r="17" spans="1:1011" ht="10.35" customHeight="1" x14ac:dyDescent="0.35">
      <c r="A17" s="2" t="s">
        <v>73</v>
      </c>
      <c r="B17" s="7" t="s">
        <v>10</v>
      </c>
      <c r="C17" s="2" t="s">
        <v>57</v>
      </c>
      <c r="D17" s="2" t="s">
        <v>12</v>
      </c>
      <c r="E17" s="4">
        <v>36</v>
      </c>
      <c r="F17" s="2" t="s">
        <v>13</v>
      </c>
      <c r="G17" s="2" t="s">
        <v>14</v>
      </c>
      <c r="H17" s="2" t="s">
        <v>58</v>
      </c>
      <c r="I17" s="7" t="s">
        <v>35</v>
      </c>
      <c r="J17" s="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</row>
    <row r="18" spans="1:1011" ht="10.35" customHeight="1" x14ac:dyDescent="0.35">
      <c r="A18" s="2" t="s">
        <v>74</v>
      </c>
      <c r="B18" s="7" t="s">
        <v>10</v>
      </c>
      <c r="C18" s="2" t="s">
        <v>57</v>
      </c>
      <c r="D18" s="2" t="s">
        <v>12</v>
      </c>
      <c r="E18" s="4">
        <v>35</v>
      </c>
      <c r="F18" s="2" t="s">
        <v>16</v>
      </c>
      <c r="G18" s="2" t="s">
        <v>14</v>
      </c>
      <c r="H18" s="2" t="s">
        <v>58</v>
      </c>
      <c r="I18" s="7" t="s">
        <v>35</v>
      </c>
      <c r="J18" s="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</row>
    <row r="19" spans="1:1011" ht="10.35" customHeight="1" x14ac:dyDescent="0.35">
      <c r="A19" s="2" t="s">
        <v>75</v>
      </c>
      <c r="B19" s="7" t="s">
        <v>10</v>
      </c>
      <c r="C19" s="2" t="s">
        <v>57</v>
      </c>
      <c r="D19" s="2" t="s">
        <v>12</v>
      </c>
      <c r="E19" s="4">
        <v>24</v>
      </c>
      <c r="F19" s="2" t="s">
        <v>13</v>
      </c>
      <c r="G19" s="2" t="s">
        <v>14</v>
      </c>
      <c r="H19" s="2" t="s">
        <v>58</v>
      </c>
      <c r="I19" s="7" t="s">
        <v>35</v>
      </c>
      <c r="J19" s="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</row>
    <row r="20" spans="1:1011" ht="10.35" customHeight="1" x14ac:dyDescent="0.35">
      <c r="A20" s="2" t="s">
        <v>76</v>
      </c>
      <c r="B20" s="7" t="s">
        <v>10</v>
      </c>
      <c r="C20" s="2" t="s">
        <v>57</v>
      </c>
      <c r="D20" s="2" t="s">
        <v>12</v>
      </c>
      <c r="E20" s="4">
        <v>31</v>
      </c>
      <c r="F20" s="2" t="s">
        <v>13</v>
      </c>
      <c r="G20" s="2" t="s">
        <v>14</v>
      </c>
      <c r="H20" s="2" t="s">
        <v>58</v>
      </c>
      <c r="I20" s="7" t="s">
        <v>35</v>
      </c>
      <c r="J20" s="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</row>
    <row r="21" spans="1:1011" ht="10.35" customHeight="1" x14ac:dyDescent="0.35">
      <c r="A21" s="2" t="s">
        <v>78</v>
      </c>
      <c r="B21">
        <f>COUNTIF(B2:B20,"*1.5T*")</f>
        <v>19</v>
      </c>
      <c r="C21">
        <f>COUNTIF(C2:C20,"*controls*")</f>
        <v>19</v>
      </c>
      <c r="D21">
        <f>COUNTIF(D2:D20,"*positive*")</f>
        <v>0</v>
      </c>
      <c r="E21" s="4">
        <f>MEDIAN(E2:E20)</f>
        <v>31</v>
      </c>
      <c r="F21">
        <f>COUNTIF(F2:F20,"*m*")</f>
        <v>8</v>
      </c>
      <c r="G21">
        <f>COUNTIF(G2:G20,"*D*")</f>
        <v>19</v>
      </c>
      <c r="H21" s="2"/>
      <c r="I21" s="1"/>
      <c r="J21" s="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</row>
    <row r="22" spans="1:1011" ht="10.35" customHeight="1" x14ac:dyDescent="0.35">
      <c r="A22" s="1" t="s">
        <v>79</v>
      </c>
      <c r="B22">
        <f>COUNTIF(B2:B20,"*3T*")</f>
        <v>0</v>
      </c>
      <c r="C22" s="2"/>
      <c r="D22">
        <f>COUNTIF(D2:D20,"*negative*")</f>
        <v>19</v>
      </c>
      <c r="E22" s="4">
        <f>QUARTILE(E2:E20,1)</f>
        <v>24</v>
      </c>
      <c r="F22">
        <f>COUNTIF(F2:F20,"*f*")</f>
        <v>11</v>
      </c>
      <c r="G22">
        <f>COUNTIF(G2:G20,"*G*")</f>
        <v>0</v>
      </c>
      <c r="H22" s="2"/>
      <c r="I22" s="1"/>
      <c r="J22" s="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</row>
    <row r="23" spans="1:1011" ht="10.35" customHeight="1" x14ac:dyDescent="0.35">
      <c r="A23" s="2" t="s">
        <v>80</v>
      </c>
      <c r="B23" s="2"/>
      <c r="C23" s="2"/>
      <c r="D23" s="2"/>
      <c r="E23" s="4">
        <f>QUARTILE(E2:E20,3)</f>
        <v>34.5</v>
      </c>
      <c r="F23" s="2"/>
      <c r="G23" s="2"/>
      <c r="H23" s="2"/>
      <c r="I23" s="1"/>
      <c r="J23" s="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</row>
    <row r="24" spans="1:1011" x14ac:dyDescent="0.35">
      <c r="A24" s="1" t="s">
        <v>81</v>
      </c>
      <c r="B24">
        <f>B21*100/C21</f>
        <v>100</v>
      </c>
    </row>
    <row r="27" spans="1:1011" x14ac:dyDescent="0.35">
      <c r="A27" t="s">
        <v>82</v>
      </c>
      <c r="E27" t="s">
        <v>85</v>
      </c>
    </row>
    <row r="28" spans="1:1011" x14ac:dyDescent="0.35">
      <c r="B28" t="s">
        <v>83</v>
      </c>
      <c r="F28" t="s">
        <v>87</v>
      </c>
    </row>
    <row r="29" spans="1:1011" x14ac:dyDescent="0.35">
      <c r="B29" t="s">
        <v>84</v>
      </c>
      <c r="F29" t="s">
        <v>86</v>
      </c>
    </row>
    <row r="30" spans="1:1011" x14ac:dyDescent="0.35">
      <c r="F30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E2" sqref="E2:E6"/>
    </sheetView>
  </sheetViews>
  <sheetFormatPr baseColWidth="10" defaultRowHeight="10.5" x14ac:dyDescent="0.35"/>
  <sheetData>
    <row r="1" spans="1:12" ht="51" x14ac:dyDescent="0.35">
      <c r="A1" s="14" t="s">
        <v>90</v>
      </c>
      <c r="B1" s="14" t="s">
        <v>91</v>
      </c>
      <c r="C1" s="14" t="s">
        <v>92</v>
      </c>
      <c r="D1" s="14" t="s">
        <v>93</v>
      </c>
      <c r="E1" s="14" t="s">
        <v>94</v>
      </c>
      <c r="F1" s="14" t="s">
        <v>95</v>
      </c>
      <c r="G1" s="15" t="s">
        <v>96</v>
      </c>
      <c r="H1" s="14" t="s">
        <v>97</v>
      </c>
      <c r="I1" s="14" t="s">
        <v>98</v>
      </c>
      <c r="J1" s="14" t="s">
        <v>99</v>
      </c>
      <c r="K1" s="14" t="s">
        <v>100</v>
      </c>
      <c r="L1" s="14" t="s">
        <v>101</v>
      </c>
    </row>
    <row r="2" spans="1:12" ht="12.75" x14ac:dyDescent="0.35">
      <c r="A2" s="16" t="s">
        <v>102</v>
      </c>
      <c r="B2" s="16" t="s">
        <v>103</v>
      </c>
      <c r="C2" s="16" t="s">
        <v>104</v>
      </c>
      <c r="D2" s="16">
        <v>26</v>
      </c>
      <c r="E2" s="16" t="s">
        <v>105</v>
      </c>
      <c r="F2" s="16">
        <v>17</v>
      </c>
      <c r="G2" s="17" t="s">
        <v>14</v>
      </c>
      <c r="H2" s="16" t="s">
        <v>106</v>
      </c>
      <c r="I2" s="16" t="s">
        <v>89</v>
      </c>
      <c r="J2" s="16" t="s">
        <v>107</v>
      </c>
      <c r="K2" s="16" t="s">
        <v>89</v>
      </c>
      <c r="L2" s="18" t="s">
        <v>89</v>
      </c>
    </row>
    <row r="3" spans="1:12" ht="12.75" x14ac:dyDescent="0.35">
      <c r="A3" s="16" t="s">
        <v>117</v>
      </c>
      <c r="B3" s="16" t="s">
        <v>118</v>
      </c>
      <c r="C3" s="16" t="s">
        <v>104</v>
      </c>
      <c r="D3" s="16">
        <v>26</v>
      </c>
      <c r="E3" s="16" t="s">
        <v>105</v>
      </c>
      <c r="F3" s="16">
        <v>17</v>
      </c>
      <c r="G3" s="17" t="s">
        <v>14</v>
      </c>
      <c r="H3" s="16" t="s">
        <v>106</v>
      </c>
      <c r="I3" s="18" t="s">
        <v>89</v>
      </c>
      <c r="J3" s="16" t="s">
        <v>107</v>
      </c>
      <c r="K3" s="16" t="s">
        <v>119</v>
      </c>
      <c r="L3" s="18"/>
    </row>
    <row r="4" spans="1:12" ht="12.75" x14ac:dyDescent="0.35">
      <c r="A4" s="16" t="s">
        <v>120</v>
      </c>
      <c r="B4" s="16" t="s">
        <v>121</v>
      </c>
      <c r="C4" s="16" t="s">
        <v>104</v>
      </c>
      <c r="D4" s="16">
        <v>26</v>
      </c>
      <c r="E4" s="16" t="s">
        <v>105</v>
      </c>
      <c r="F4" s="16">
        <v>15</v>
      </c>
      <c r="G4" s="17" t="s">
        <v>14</v>
      </c>
      <c r="H4" s="16" t="s">
        <v>106</v>
      </c>
      <c r="I4" s="18"/>
      <c r="J4" s="16" t="s">
        <v>107</v>
      </c>
      <c r="K4" s="16"/>
      <c r="L4" s="18"/>
    </row>
    <row r="5" spans="1:12" ht="13.15" x14ac:dyDescent="0.4">
      <c r="A5" s="16" t="s">
        <v>124</v>
      </c>
      <c r="B5" s="16" t="s">
        <v>125</v>
      </c>
      <c r="C5" s="16" t="s">
        <v>104</v>
      </c>
      <c r="D5" s="16">
        <v>25</v>
      </c>
      <c r="E5" s="16" t="s">
        <v>105</v>
      </c>
      <c r="F5" s="16">
        <v>18</v>
      </c>
      <c r="G5" s="17" t="s">
        <v>14</v>
      </c>
      <c r="H5" s="16" t="s">
        <v>106</v>
      </c>
      <c r="I5" s="19"/>
      <c r="J5" s="16" t="s">
        <v>107</v>
      </c>
      <c r="K5" s="20"/>
      <c r="L5" s="19"/>
    </row>
    <row r="6" spans="1:12" ht="12.75" x14ac:dyDescent="0.35">
      <c r="A6" s="16" t="s">
        <v>128</v>
      </c>
      <c r="B6" s="16" t="s">
        <v>129</v>
      </c>
      <c r="C6" s="16" t="s">
        <v>104</v>
      </c>
      <c r="D6" s="16">
        <v>25</v>
      </c>
      <c r="E6" s="16" t="s">
        <v>105</v>
      </c>
      <c r="F6" s="16">
        <v>15</v>
      </c>
      <c r="G6" s="17" t="s">
        <v>14</v>
      </c>
      <c r="H6" s="16" t="s">
        <v>106</v>
      </c>
      <c r="I6" s="18"/>
      <c r="J6" s="16" t="s">
        <v>107</v>
      </c>
      <c r="K6" s="16"/>
      <c r="L6" s="18"/>
    </row>
    <row r="7" spans="1:12" ht="12.75" x14ac:dyDescent="0.35">
      <c r="A7" s="16" t="s">
        <v>108</v>
      </c>
      <c r="B7" s="16" t="s">
        <v>109</v>
      </c>
      <c r="C7" s="16" t="s">
        <v>104</v>
      </c>
      <c r="D7" s="16">
        <v>25</v>
      </c>
      <c r="E7" s="16" t="s">
        <v>110</v>
      </c>
      <c r="F7" s="16">
        <v>17</v>
      </c>
      <c r="G7" s="17" t="s">
        <v>14</v>
      </c>
      <c r="H7" s="16" t="s">
        <v>106</v>
      </c>
      <c r="I7" s="18" t="s">
        <v>89</v>
      </c>
      <c r="J7" s="16" t="s">
        <v>107</v>
      </c>
      <c r="K7" s="16" t="s">
        <v>89</v>
      </c>
      <c r="L7" s="18" t="s">
        <v>89</v>
      </c>
    </row>
    <row r="8" spans="1:12" ht="12.75" x14ac:dyDescent="0.35">
      <c r="A8" s="16" t="s">
        <v>111</v>
      </c>
      <c r="B8" s="16" t="s">
        <v>112</v>
      </c>
      <c r="C8" s="16" t="s">
        <v>104</v>
      </c>
      <c r="D8" s="16">
        <v>27</v>
      </c>
      <c r="E8" s="16" t="s">
        <v>110</v>
      </c>
      <c r="F8" s="16">
        <v>13</v>
      </c>
      <c r="G8" s="17" t="s">
        <v>14</v>
      </c>
      <c r="H8" s="16" t="s">
        <v>106</v>
      </c>
      <c r="I8" s="16" t="s">
        <v>89</v>
      </c>
      <c r="J8" s="16" t="s">
        <v>107</v>
      </c>
      <c r="K8" s="16" t="s">
        <v>113</v>
      </c>
      <c r="L8" s="18" t="s">
        <v>113</v>
      </c>
    </row>
    <row r="9" spans="1:12" ht="12.75" x14ac:dyDescent="0.35">
      <c r="A9" s="16" t="s">
        <v>114</v>
      </c>
      <c r="B9" s="16" t="s">
        <v>115</v>
      </c>
      <c r="C9" s="16" t="s">
        <v>104</v>
      </c>
      <c r="D9" s="16">
        <v>26</v>
      </c>
      <c r="E9" s="16" t="s">
        <v>110</v>
      </c>
      <c r="F9" s="16">
        <v>15</v>
      </c>
      <c r="G9" s="17" t="s">
        <v>14</v>
      </c>
      <c r="H9" s="16" t="s">
        <v>106</v>
      </c>
      <c r="I9" s="16" t="s">
        <v>89</v>
      </c>
      <c r="J9" s="16" t="s">
        <v>107</v>
      </c>
      <c r="K9" s="16" t="s">
        <v>116</v>
      </c>
      <c r="L9" s="18" t="s">
        <v>89</v>
      </c>
    </row>
    <row r="10" spans="1:12" ht="13.15" x14ac:dyDescent="0.4">
      <c r="A10" s="16" t="s">
        <v>122</v>
      </c>
      <c r="B10" s="16" t="s">
        <v>123</v>
      </c>
      <c r="C10" s="16" t="s">
        <v>104</v>
      </c>
      <c r="D10" s="16">
        <v>25</v>
      </c>
      <c r="E10" s="16" t="s">
        <v>110</v>
      </c>
      <c r="F10" s="16">
        <v>17</v>
      </c>
      <c r="G10" s="17" t="s">
        <v>14</v>
      </c>
      <c r="H10" s="16" t="s">
        <v>106</v>
      </c>
      <c r="I10" s="19"/>
      <c r="J10" s="16" t="s">
        <v>107</v>
      </c>
      <c r="K10" s="20"/>
      <c r="L10" s="19"/>
    </row>
    <row r="11" spans="1:12" ht="12.75" x14ac:dyDescent="0.35">
      <c r="A11" s="16" t="s">
        <v>126</v>
      </c>
      <c r="B11" s="16" t="s">
        <v>127</v>
      </c>
      <c r="C11" s="16" t="s">
        <v>104</v>
      </c>
      <c r="D11" s="16">
        <v>27</v>
      </c>
      <c r="E11" s="16" t="s">
        <v>110</v>
      </c>
      <c r="F11" s="16">
        <v>17</v>
      </c>
      <c r="G11" s="17" t="s">
        <v>14</v>
      </c>
      <c r="H11" s="16" t="s">
        <v>106</v>
      </c>
      <c r="I11" s="18"/>
      <c r="J11" s="16" t="s">
        <v>107</v>
      </c>
      <c r="K11" s="16"/>
      <c r="L11" s="18"/>
    </row>
    <row r="12" spans="1:12" ht="12.75" x14ac:dyDescent="0.35">
      <c r="A12" s="21"/>
      <c r="B12" s="16"/>
      <c r="C12" s="16"/>
      <c r="D12" s="16"/>
      <c r="E12" s="16"/>
      <c r="F12" s="16"/>
      <c r="G12" s="17"/>
      <c r="H12" s="16"/>
      <c r="I12" s="18"/>
      <c r="J12" s="18"/>
      <c r="K12" s="16"/>
      <c r="L12" s="18"/>
    </row>
    <row r="13" spans="1:12" ht="12.75" x14ac:dyDescent="0.35">
      <c r="A13" s="16" t="s">
        <v>130</v>
      </c>
      <c r="B13" s="16">
        <f>COUNTIF(E:E,"M")</f>
        <v>5</v>
      </c>
      <c r="C13" s="16"/>
      <c r="D13" s="16"/>
      <c r="E13" s="16"/>
      <c r="F13" s="16"/>
      <c r="G13" s="17"/>
      <c r="H13" s="16"/>
      <c r="I13" s="18"/>
      <c r="J13" s="18"/>
      <c r="K13" s="16"/>
      <c r="L13" s="18"/>
    </row>
    <row r="14" spans="1:12" ht="12.75" x14ac:dyDescent="0.35">
      <c r="A14" s="16" t="s">
        <v>131</v>
      </c>
      <c r="B14" s="16">
        <f>COUNTIF(E:E,"F")</f>
        <v>5</v>
      </c>
      <c r="C14" s="16"/>
      <c r="D14" s="16"/>
      <c r="E14" s="16"/>
      <c r="F14" s="16"/>
      <c r="G14" s="17"/>
      <c r="H14" s="16"/>
      <c r="I14" s="18"/>
      <c r="J14" s="18"/>
      <c r="K14" s="16"/>
      <c r="L14" s="18"/>
    </row>
    <row r="15" spans="1:12" ht="12.75" x14ac:dyDescent="0.35">
      <c r="A15" s="16"/>
      <c r="B15" s="16"/>
      <c r="C15" s="16"/>
      <c r="D15" s="16"/>
      <c r="E15" s="16"/>
      <c r="F15" s="16"/>
      <c r="G15" s="17"/>
      <c r="H15" s="16"/>
      <c r="I15" s="18"/>
      <c r="J15" s="18"/>
      <c r="K15" s="16"/>
      <c r="L15" s="18"/>
    </row>
    <row r="16" spans="1:12" ht="12.75" x14ac:dyDescent="0.35">
      <c r="A16" s="16" t="s">
        <v>132</v>
      </c>
      <c r="B16" s="16"/>
      <c r="C16" s="16"/>
      <c r="D16" s="16"/>
      <c r="E16" s="16"/>
      <c r="F16" s="16"/>
      <c r="G16" s="17"/>
      <c r="H16" s="16"/>
      <c r="I16" s="18"/>
      <c r="J16" s="18"/>
      <c r="K16" s="16"/>
      <c r="L16" s="18"/>
    </row>
  </sheetData>
  <autoFilter ref="A1:L1">
    <sortState ref="A2:L11">
      <sortCondition ref="E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W35"/>
  <sheetViews>
    <sheetView workbookViewId="0">
      <selection activeCell="G32" sqref="G32"/>
    </sheetView>
  </sheetViews>
  <sheetFormatPr baseColWidth="10" defaultRowHeight="10.5" x14ac:dyDescent="0.35"/>
  <cols>
    <col min="1" max="1" width="13.61328125" style="12" customWidth="1"/>
    <col min="2" max="12" width="11" style="12"/>
  </cols>
  <sheetData>
    <row r="1" spans="1:1011" ht="9" customHeight="1" x14ac:dyDescent="0.35">
      <c r="A1" s="8" t="s">
        <v>0</v>
      </c>
      <c r="B1" s="8" t="s">
        <v>1</v>
      </c>
      <c r="C1" s="8" t="s">
        <v>3</v>
      </c>
      <c r="D1" s="8" t="s">
        <v>1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/>
      <c r="K1" s="8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</row>
    <row r="2" spans="1:1011" ht="10.35" customHeight="1" x14ac:dyDescent="0.35">
      <c r="A2" s="8" t="s">
        <v>56</v>
      </c>
      <c r="B2" s="9" t="s">
        <v>10</v>
      </c>
      <c r="C2" s="8" t="s">
        <v>57</v>
      </c>
      <c r="D2" s="8" t="s">
        <v>12</v>
      </c>
      <c r="E2" s="10">
        <v>22</v>
      </c>
      <c r="F2" s="8" t="s">
        <v>13</v>
      </c>
      <c r="G2" s="8" t="s">
        <v>14</v>
      </c>
      <c r="H2" s="8" t="s">
        <v>58</v>
      </c>
      <c r="I2" s="9" t="s">
        <v>35</v>
      </c>
      <c r="J2" s="8"/>
      <c r="K2" s="11"/>
      <c r="L2" s="1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</row>
    <row r="3" spans="1:1011" ht="10.35" customHeight="1" x14ac:dyDescent="0.35">
      <c r="A3" s="8" t="s">
        <v>59</v>
      </c>
      <c r="B3" s="9" t="s">
        <v>10</v>
      </c>
      <c r="C3" s="8" t="s">
        <v>57</v>
      </c>
      <c r="D3" s="8" t="s">
        <v>12</v>
      </c>
      <c r="E3" s="10">
        <v>32</v>
      </c>
      <c r="F3" s="8" t="s">
        <v>16</v>
      </c>
      <c r="G3" s="8" t="s">
        <v>14</v>
      </c>
      <c r="H3" s="8" t="s">
        <v>58</v>
      </c>
      <c r="I3" s="9" t="s">
        <v>35</v>
      </c>
      <c r="J3" s="8"/>
      <c r="K3" s="11"/>
      <c r="L3" s="1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</row>
    <row r="4" spans="1:1011" ht="10.35" customHeight="1" x14ac:dyDescent="0.35">
      <c r="A4" s="8" t="s">
        <v>60</v>
      </c>
      <c r="B4" s="9" t="s">
        <v>10</v>
      </c>
      <c r="C4" s="8" t="s">
        <v>57</v>
      </c>
      <c r="D4" s="8" t="s">
        <v>12</v>
      </c>
      <c r="E4" s="10">
        <v>50</v>
      </c>
      <c r="F4" s="8" t="s">
        <v>13</v>
      </c>
      <c r="G4" s="8" t="s">
        <v>14</v>
      </c>
      <c r="H4" s="8" t="s">
        <v>58</v>
      </c>
      <c r="I4" s="9" t="s">
        <v>35</v>
      </c>
      <c r="J4" s="8"/>
      <c r="K4" s="11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</row>
    <row r="5" spans="1:1011" ht="10.35" customHeight="1" x14ac:dyDescent="0.35">
      <c r="A5" s="8" t="s">
        <v>61</v>
      </c>
      <c r="B5" s="9" t="s">
        <v>10</v>
      </c>
      <c r="C5" s="8" t="s">
        <v>57</v>
      </c>
      <c r="D5" s="8" t="s">
        <v>12</v>
      </c>
      <c r="E5" s="10">
        <v>53</v>
      </c>
      <c r="F5" s="8" t="s">
        <v>16</v>
      </c>
      <c r="G5" s="8" t="s">
        <v>14</v>
      </c>
      <c r="H5" s="8" t="s">
        <v>58</v>
      </c>
      <c r="I5" s="9" t="s">
        <v>35</v>
      </c>
      <c r="J5" s="8"/>
      <c r="K5" s="11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</row>
    <row r="6" spans="1:1011" ht="10.35" customHeight="1" x14ac:dyDescent="0.35">
      <c r="A6" s="8" t="s">
        <v>62</v>
      </c>
      <c r="B6" s="9" t="s">
        <v>10</v>
      </c>
      <c r="C6" s="8" t="s">
        <v>57</v>
      </c>
      <c r="D6" s="8" t="s">
        <v>12</v>
      </c>
      <c r="E6" s="10">
        <v>23</v>
      </c>
      <c r="F6" s="8" t="s">
        <v>13</v>
      </c>
      <c r="G6" s="8" t="s">
        <v>14</v>
      </c>
      <c r="H6" s="8" t="s">
        <v>58</v>
      </c>
      <c r="I6" s="9" t="s">
        <v>35</v>
      </c>
      <c r="J6" s="8"/>
      <c r="K6" s="11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</row>
    <row r="7" spans="1:1011" ht="10.35" customHeight="1" x14ac:dyDescent="0.35">
      <c r="A7" s="8" t="s">
        <v>63</v>
      </c>
      <c r="B7" s="9" t="s">
        <v>10</v>
      </c>
      <c r="C7" s="8" t="s">
        <v>57</v>
      </c>
      <c r="D7" s="8" t="s">
        <v>12</v>
      </c>
      <c r="E7" s="10">
        <v>31</v>
      </c>
      <c r="F7" s="8" t="s">
        <v>13</v>
      </c>
      <c r="G7" s="8" t="s">
        <v>14</v>
      </c>
      <c r="H7" s="8" t="s">
        <v>58</v>
      </c>
      <c r="I7" s="9" t="s">
        <v>35</v>
      </c>
      <c r="J7" s="8"/>
      <c r="K7" s="11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</row>
    <row r="8" spans="1:1011" ht="10.35" customHeight="1" x14ac:dyDescent="0.35">
      <c r="A8" s="8" t="s">
        <v>64</v>
      </c>
      <c r="B8" s="9" t="s">
        <v>10</v>
      </c>
      <c r="C8" s="8" t="s">
        <v>57</v>
      </c>
      <c r="D8" s="8" t="s">
        <v>12</v>
      </c>
      <c r="E8" s="10">
        <v>26</v>
      </c>
      <c r="F8" s="8" t="s">
        <v>13</v>
      </c>
      <c r="G8" s="8" t="s">
        <v>14</v>
      </c>
      <c r="H8" s="8" t="s">
        <v>58</v>
      </c>
      <c r="I8" s="9" t="s">
        <v>35</v>
      </c>
      <c r="J8" s="8"/>
      <c r="K8" s="11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</row>
    <row r="9" spans="1:1011" ht="10.35" customHeight="1" x14ac:dyDescent="0.35">
      <c r="A9" s="8" t="s">
        <v>65</v>
      </c>
      <c r="B9" s="9" t="s">
        <v>10</v>
      </c>
      <c r="C9" s="8" t="s">
        <v>57</v>
      </c>
      <c r="D9" s="8" t="s">
        <v>12</v>
      </c>
      <c r="E9" s="10">
        <v>24</v>
      </c>
      <c r="F9" s="8" t="s">
        <v>16</v>
      </c>
      <c r="G9" s="8" t="s">
        <v>14</v>
      </c>
      <c r="H9" s="8" t="s">
        <v>58</v>
      </c>
      <c r="I9" s="9" t="s">
        <v>35</v>
      </c>
      <c r="J9" s="8"/>
      <c r="K9" s="11"/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</row>
    <row r="10" spans="1:1011" ht="10.35" customHeight="1" x14ac:dyDescent="0.35">
      <c r="A10" s="8" t="s">
        <v>66</v>
      </c>
      <c r="B10" s="9" t="s">
        <v>10</v>
      </c>
      <c r="C10" s="8" t="s">
        <v>57</v>
      </c>
      <c r="D10" s="8" t="s">
        <v>12</v>
      </c>
      <c r="E10" s="10">
        <v>38</v>
      </c>
      <c r="F10" s="8" t="s">
        <v>16</v>
      </c>
      <c r="G10" s="8" t="s">
        <v>14</v>
      </c>
      <c r="H10" s="8" t="s">
        <v>58</v>
      </c>
      <c r="I10" s="9" t="s">
        <v>35</v>
      </c>
      <c r="J10" s="8"/>
      <c r="K10" s="11"/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</row>
    <row r="11" spans="1:1011" ht="10.35" customHeight="1" x14ac:dyDescent="0.35">
      <c r="A11" s="8" t="s">
        <v>67</v>
      </c>
      <c r="B11" s="9" t="s">
        <v>10</v>
      </c>
      <c r="C11" s="8" t="s">
        <v>57</v>
      </c>
      <c r="D11" s="8" t="s">
        <v>12</v>
      </c>
      <c r="E11" s="10">
        <v>31</v>
      </c>
      <c r="F11" s="8" t="s">
        <v>16</v>
      </c>
      <c r="G11" s="8" t="s">
        <v>14</v>
      </c>
      <c r="H11" s="8" t="s">
        <v>58</v>
      </c>
      <c r="I11" s="9" t="s">
        <v>35</v>
      </c>
      <c r="J11" s="8"/>
      <c r="K11" s="11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</row>
    <row r="12" spans="1:1011" ht="10.35" customHeight="1" x14ac:dyDescent="0.35">
      <c r="A12" s="8" t="s">
        <v>68</v>
      </c>
      <c r="B12" s="9" t="s">
        <v>10</v>
      </c>
      <c r="C12" s="8" t="s">
        <v>57</v>
      </c>
      <c r="D12" s="8" t="s">
        <v>12</v>
      </c>
      <c r="E12" s="10">
        <v>27</v>
      </c>
      <c r="F12" s="8" t="s">
        <v>13</v>
      </c>
      <c r="G12" s="8" t="s">
        <v>14</v>
      </c>
      <c r="H12" s="8" t="s">
        <v>58</v>
      </c>
      <c r="I12" s="9" t="s">
        <v>35</v>
      </c>
      <c r="J12" s="8"/>
      <c r="K12" s="11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</row>
    <row r="13" spans="1:1011" ht="10.35" customHeight="1" x14ac:dyDescent="0.35">
      <c r="A13" s="8" t="s">
        <v>69</v>
      </c>
      <c r="B13" s="9" t="s">
        <v>10</v>
      </c>
      <c r="C13" s="8" t="s">
        <v>57</v>
      </c>
      <c r="D13" s="8" t="s">
        <v>12</v>
      </c>
      <c r="E13" s="10">
        <v>24</v>
      </c>
      <c r="F13" s="8" t="s">
        <v>13</v>
      </c>
      <c r="G13" s="8" t="s">
        <v>14</v>
      </c>
      <c r="H13" s="8" t="s">
        <v>58</v>
      </c>
      <c r="I13" s="9" t="s">
        <v>35</v>
      </c>
      <c r="J13" s="8"/>
      <c r="K13" s="11"/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</row>
    <row r="14" spans="1:1011" ht="10.35" customHeight="1" x14ac:dyDescent="0.35">
      <c r="A14" s="8" t="s">
        <v>70</v>
      </c>
      <c r="B14" s="9" t="s">
        <v>10</v>
      </c>
      <c r="C14" s="8" t="s">
        <v>57</v>
      </c>
      <c r="D14" s="8" t="s">
        <v>12</v>
      </c>
      <c r="E14" s="10">
        <v>34</v>
      </c>
      <c r="F14" s="8" t="s">
        <v>13</v>
      </c>
      <c r="G14" s="8" t="s">
        <v>14</v>
      </c>
      <c r="H14" s="8" t="s">
        <v>58</v>
      </c>
      <c r="I14" s="9" t="s">
        <v>35</v>
      </c>
      <c r="J14" s="8"/>
      <c r="K14" s="11"/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</row>
    <row r="15" spans="1:1011" ht="10.35" customHeight="1" x14ac:dyDescent="0.35">
      <c r="A15" s="8" t="s">
        <v>71</v>
      </c>
      <c r="B15" s="9" t="s">
        <v>10</v>
      </c>
      <c r="C15" s="8" t="s">
        <v>57</v>
      </c>
      <c r="D15" s="8" t="s">
        <v>12</v>
      </c>
      <c r="E15" s="10">
        <v>24</v>
      </c>
      <c r="F15" s="8" t="s">
        <v>16</v>
      </c>
      <c r="G15" s="8" t="s">
        <v>14</v>
      </c>
      <c r="H15" s="8" t="s">
        <v>58</v>
      </c>
      <c r="I15" s="9" t="s">
        <v>35</v>
      </c>
      <c r="J15" s="8"/>
      <c r="K15" s="11"/>
      <c r="L15" s="1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</row>
    <row r="16" spans="1:1011" ht="10.35" customHeight="1" x14ac:dyDescent="0.35">
      <c r="A16" s="8" t="s">
        <v>72</v>
      </c>
      <c r="B16" s="9" t="s">
        <v>10</v>
      </c>
      <c r="C16" s="8" t="s">
        <v>57</v>
      </c>
      <c r="D16" s="8" t="s">
        <v>12</v>
      </c>
      <c r="E16" s="10">
        <v>25</v>
      </c>
      <c r="F16" s="8" t="s">
        <v>16</v>
      </c>
      <c r="G16" s="8" t="s">
        <v>14</v>
      </c>
      <c r="H16" s="8" t="s">
        <v>58</v>
      </c>
      <c r="I16" s="9" t="s">
        <v>35</v>
      </c>
      <c r="J16" s="8"/>
      <c r="K16" s="11"/>
      <c r="L16" s="1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</row>
    <row r="17" spans="1:1011" ht="10.35" customHeight="1" x14ac:dyDescent="0.35">
      <c r="A17" s="8" t="s">
        <v>73</v>
      </c>
      <c r="B17" s="9" t="s">
        <v>10</v>
      </c>
      <c r="C17" s="8" t="s">
        <v>57</v>
      </c>
      <c r="D17" s="8" t="s">
        <v>12</v>
      </c>
      <c r="E17" s="10">
        <v>36</v>
      </c>
      <c r="F17" s="8" t="s">
        <v>13</v>
      </c>
      <c r="G17" s="8" t="s">
        <v>14</v>
      </c>
      <c r="H17" s="8" t="s">
        <v>58</v>
      </c>
      <c r="I17" s="9" t="s">
        <v>35</v>
      </c>
      <c r="J17" s="8"/>
      <c r="K17" s="11"/>
      <c r="L17" s="1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</row>
    <row r="18" spans="1:1011" ht="10.35" customHeight="1" x14ac:dyDescent="0.35">
      <c r="A18" s="8" t="s">
        <v>74</v>
      </c>
      <c r="B18" s="9" t="s">
        <v>10</v>
      </c>
      <c r="C18" s="8" t="s">
        <v>57</v>
      </c>
      <c r="D18" s="8" t="s">
        <v>12</v>
      </c>
      <c r="E18" s="10">
        <v>35</v>
      </c>
      <c r="F18" s="8" t="s">
        <v>16</v>
      </c>
      <c r="G18" s="8" t="s">
        <v>14</v>
      </c>
      <c r="H18" s="8" t="s">
        <v>58</v>
      </c>
      <c r="I18" s="9" t="s">
        <v>35</v>
      </c>
      <c r="J18" s="8"/>
      <c r="K18" s="11"/>
      <c r="L18" s="1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</row>
    <row r="19" spans="1:1011" ht="10.35" customHeight="1" x14ac:dyDescent="0.35">
      <c r="A19" s="8" t="s">
        <v>75</v>
      </c>
      <c r="B19" s="9" t="s">
        <v>10</v>
      </c>
      <c r="C19" s="8" t="s">
        <v>57</v>
      </c>
      <c r="D19" s="8" t="s">
        <v>12</v>
      </c>
      <c r="E19" s="10">
        <v>24</v>
      </c>
      <c r="F19" s="8" t="s">
        <v>13</v>
      </c>
      <c r="G19" s="8" t="s">
        <v>14</v>
      </c>
      <c r="H19" s="8" t="s">
        <v>58</v>
      </c>
      <c r="I19" s="9" t="s">
        <v>35</v>
      </c>
      <c r="J19" s="8"/>
      <c r="K19" s="11"/>
      <c r="L19" s="1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</row>
    <row r="20" spans="1:1011" ht="10.35" customHeight="1" x14ac:dyDescent="0.35">
      <c r="A20" s="8" t="s">
        <v>76</v>
      </c>
      <c r="B20" s="9" t="s">
        <v>10</v>
      </c>
      <c r="C20" s="8" t="s">
        <v>57</v>
      </c>
      <c r="D20" s="8" t="s">
        <v>12</v>
      </c>
      <c r="E20" s="10">
        <v>31</v>
      </c>
      <c r="F20" s="8" t="s">
        <v>13</v>
      </c>
      <c r="G20" s="8" t="s">
        <v>14</v>
      </c>
      <c r="H20" s="8" t="s">
        <v>58</v>
      </c>
      <c r="I20" s="9" t="s">
        <v>35</v>
      </c>
      <c r="J20" s="8"/>
      <c r="K20" s="11"/>
      <c r="L20" s="1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</row>
    <row r="21" spans="1:1011" ht="12.75" x14ac:dyDescent="0.35">
      <c r="A21" s="16" t="s">
        <v>103</v>
      </c>
      <c r="B21" s="12" t="s">
        <v>34</v>
      </c>
      <c r="C21" s="8" t="s">
        <v>57</v>
      </c>
      <c r="D21" s="8" t="s">
        <v>12</v>
      </c>
      <c r="E21" s="16">
        <v>26</v>
      </c>
      <c r="F21" s="16" t="s">
        <v>13</v>
      </c>
      <c r="G21" s="12" t="s">
        <v>14</v>
      </c>
      <c r="H21" s="8" t="s">
        <v>58</v>
      </c>
      <c r="I21" s="9" t="s">
        <v>35</v>
      </c>
      <c r="J21" s="13"/>
    </row>
    <row r="22" spans="1:1011" ht="12.75" x14ac:dyDescent="0.35">
      <c r="A22" s="16" t="s">
        <v>109</v>
      </c>
      <c r="B22" s="12" t="s">
        <v>34</v>
      </c>
      <c r="C22" s="8" t="s">
        <v>57</v>
      </c>
      <c r="D22" s="8" t="s">
        <v>12</v>
      </c>
      <c r="E22" s="16">
        <v>25</v>
      </c>
      <c r="F22" s="16" t="s">
        <v>16</v>
      </c>
      <c r="G22" s="12" t="s">
        <v>14</v>
      </c>
      <c r="H22" s="8" t="s">
        <v>58</v>
      </c>
      <c r="I22" s="9" t="s">
        <v>35</v>
      </c>
      <c r="J22" s="13"/>
    </row>
    <row r="23" spans="1:1011" ht="12.75" x14ac:dyDescent="0.35">
      <c r="A23" s="16" t="s">
        <v>112</v>
      </c>
      <c r="B23" s="12" t="s">
        <v>34</v>
      </c>
      <c r="C23" s="8" t="s">
        <v>57</v>
      </c>
      <c r="D23" s="8" t="s">
        <v>12</v>
      </c>
      <c r="E23" s="16">
        <v>27</v>
      </c>
      <c r="F23" s="16" t="s">
        <v>16</v>
      </c>
      <c r="G23" s="12" t="s">
        <v>14</v>
      </c>
      <c r="H23" s="8" t="s">
        <v>58</v>
      </c>
      <c r="I23" s="9" t="s">
        <v>35</v>
      </c>
      <c r="J23" s="13"/>
    </row>
    <row r="24" spans="1:1011" ht="12.75" x14ac:dyDescent="0.35">
      <c r="A24" s="16" t="s">
        <v>115</v>
      </c>
      <c r="B24" s="12" t="s">
        <v>34</v>
      </c>
      <c r="C24" s="8" t="s">
        <v>57</v>
      </c>
      <c r="D24" s="8" t="s">
        <v>12</v>
      </c>
      <c r="E24" s="16">
        <v>26</v>
      </c>
      <c r="F24" s="16" t="s">
        <v>16</v>
      </c>
      <c r="G24" s="12" t="s">
        <v>14</v>
      </c>
      <c r="H24" s="8" t="s">
        <v>58</v>
      </c>
      <c r="I24" s="9" t="s">
        <v>35</v>
      </c>
      <c r="J24" s="13"/>
    </row>
    <row r="25" spans="1:1011" ht="12.75" x14ac:dyDescent="0.35">
      <c r="A25" s="16" t="s">
        <v>118</v>
      </c>
      <c r="B25" s="12" t="s">
        <v>34</v>
      </c>
      <c r="C25" s="8" t="s">
        <v>57</v>
      </c>
      <c r="D25" s="8" t="s">
        <v>12</v>
      </c>
      <c r="E25" s="16">
        <v>26</v>
      </c>
      <c r="F25" s="16" t="s">
        <v>13</v>
      </c>
      <c r="G25" s="12" t="s">
        <v>14</v>
      </c>
      <c r="H25" s="8" t="s">
        <v>58</v>
      </c>
      <c r="I25" s="9" t="s">
        <v>35</v>
      </c>
    </row>
    <row r="26" spans="1:1011" ht="12.75" x14ac:dyDescent="0.35">
      <c r="A26" s="16" t="s">
        <v>121</v>
      </c>
      <c r="B26" s="12" t="s">
        <v>34</v>
      </c>
      <c r="C26" s="8" t="s">
        <v>57</v>
      </c>
      <c r="D26" s="8" t="s">
        <v>12</v>
      </c>
      <c r="E26" s="16">
        <v>26</v>
      </c>
      <c r="F26" s="16" t="s">
        <v>13</v>
      </c>
      <c r="G26" s="12" t="s">
        <v>14</v>
      </c>
      <c r="H26" s="8" t="s">
        <v>58</v>
      </c>
      <c r="I26" s="9" t="s">
        <v>35</v>
      </c>
      <c r="J26" s="13"/>
    </row>
    <row r="27" spans="1:1011" ht="12.75" x14ac:dyDescent="0.35">
      <c r="A27" s="16" t="s">
        <v>123</v>
      </c>
      <c r="B27" s="12" t="s">
        <v>34</v>
      </c>
      <c r="C27" s="8" t="s">
        <v>57</v>
      </c>
      <c r="D27" s="8" t="s">
        <v>12</v>
      </c>
      <c r="E27" s="16">
        <v>25</v>
      </c>
      <c r="F27" s="16" t="s">
        <v>16</v>
      </c>
      <c r="G27" s="12" t="s">
        <v>14</v>
      </c>
      <c r="H27" s="8" t="s">
        <v>58</v>
      </c>
      <c r="I27" s="9" t="s">
        <v>35</v>
      </c>
    </row>
    <row r="28" spans="1:1011" ht="12.75" x14ac:dyDescent="0.35">
      <c r="A28" s="16" t="s">
        <v>125</v>
      </c>
      <c r="B28" s="12" t="s">
        <v>34</v>
      </c>
      <c r="C28" s="8" t="s">
        <v>57</v>
      </c>
      <c r="D28" s="8" t="s">
        <v>12</v>
      </c>
      <c r="E28" s="16">
        <v>25</v>
      </c>
      <c r="F28" s="16" t="s">
        <v>13</v>
      </c>
      <c r="G28" s="12" t="s">
        <v>14</v>
      </c>
      <c r="H28" s="8" t="s">
        <v>58</v>
      </c>
      <c r="I28" s="9" t="s">
        <v>35</v>
      </c>
      <c r="J28" s="13"/>
    </row>
    <row r="29" spans="1:1011" ht="12.75" x14ac:dyDescent="0.35">
      <c r="A29" s="16" t="s">
        <v>127</v>
      </c>
      <c r="B29" s="12" t="s">
        <v>34</v>
      </c>
      <c r="C29" s="8" t="s">
        <v>57</v>
      </c>
      <c r="D29" s="8" t="s">
        <v>12</v>
      </c>
      <c r="E29" s="16">
        <v>27</v>
      </c>
      <c r="F29" s="16" t="s">
        <v>16</v>
      </c>
      <c r="G29" s="12" t="s">
        <v>14</v>
      </c>
      <c r="H29" s="8" t="s">
        <v>58</v>
      </c>
      <c r="I29" s="9" t="s">
        <v>35</v>
      </c>
      <c r="J29" s="13"/>
    </row>
    <row r="30" spans="1:1011" ht="12.75" x14ac:dyDescent="0.35">
      <c r="A30" s="16" t="s">
        <v>129</v>
      </c>
      <c r="B30" s="12" t="s">
        <v>34</v>
      </c>
      <c r="C30" s="8" t="s">
        <v>57</v>
      </c>
      <c r="D30" s="8" t="s">
        <v>12</v>
      </c>
      <c r="E30" s="16">
        <v>25</v>
      </c>
      <c r="F30" s="16" t="s">
        <v>13</v>
      </c>
      <c r="G30" s="12" t="s">
        <v>14</v>
      </c>
      <c r="H30" s="8" t="s">
        <v>58</v>
      </c>
      <c r="I30" s="9" t="s">
        <v>35</v>
      </c>
      <c r="J30" s="13"/>
    </row>
    <row r="32" spans="1:1011" ht="10.35" customHeight="1" x14ac:dyDescent="0.35">
      <c r="A32" s="2" t="s">
        <v>78</v>
      </c>
      <c r="B32">
        <f>COUNTIF(B2:B30,"*1.5T*")</f>
        <v>19</v>
      </c>
      <c r="C32">
        <f>COUNTIF(C2:C30,"*controls*")</f>
        <v>29</v>
      </c>
      <c r="D32">
        <f>COUNTIF(D2:D30,"*positive*")</f>
        <v>0</v>
      </c>
      <c r="E32" s="4">
        <f>MEDIAN(E2:E30)</f>
        <v>26</v>
      </c>
      <c r="F32">
        <f>COUNTIF(F2:F30,"*m*")</f>
        <v>13</v>
      </c>
      <c r="G32">
        <f>COUNTIF(G2:G30,"*D*")</f>
        <v>29</v>
      </c>
      <c r="H32" s="2"/>
      <c r="I32" s="1"/>
      <c r="J32" s="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</row>
    <row r="33" spans="1:1011" ht="10.35" customHeight="1" x14ac:dyDescent="0.35">
      <c r="A33" s="1" t="s">
        <v>79</v>
      </c>
      <c r="B33">
        <f>COUNTIF(B2:B30,"*3T*")</f>
        <v>10</v>
      </c>
      <c r="C33" s="2"/>
      <c r="D33">
        <f>COUNTIF(D2:D30,"*negative*")</f>
        <v>29</v>
      </c>
      <c r="E33" s="4">
        <f>QUARTILE(E2:E30,1)</f>
        <v>25</v>
      </c>
      <c r="F33">
        <f>COUNTIF(F2:F30,"*f*")</f>
        <v>16</v>
      </c>
      <c r="G33">
        <f>COUNTIF(G2:G30,"*G*")</f>
        <v>0</v>
      </c>
      <c r="H33" s="2"/>
      <c r="I33" s="1"/>
      <c r="J33" s="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</row>
    <row r="34" spans="1:1011" ht="10.35" customHeight="1" x14ac:dyDescent="0.35">
      <c r="A34" s="2" t="s">
        <v>80</v>
      </c>
      <c r="B34" s="2"/>
      <c r="C34" s="2"/>
      <c r="D34" s="2"/>
      <c r="E34" s="4">
        <f>QUARTILE(E2:E30,3)</f>
        <v>31</v>
      </c>
      <c r="F34" s="2"/>
      <c r="G34" s="2"/>
      <c r="H34" s="2"/>
      <c r="I34" s="1"/>
      <c r="J34" s="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</row>
    <row r="35" spans="1:1011" x14ac:dyDescent="0.35">
      <c r="A35" s="1" t="s">
        <v>81</v>
      </c>
      <c r="B35">
        <f>B32*100/C32</f>
        <v>65.517241379310349</v>
      </c>
      <c r="C35"/>
      <c r="D35"/>
      <c r="E35"/>
      <c r="F35"/>
      <c r="G35"/>
      <c r="H35"/>
      <c r="I35"/>
      <c r="J35"/>
      <c r="K35"/>
      <c r="L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all_subjects</vt:lpstr>
      <vt:lpstr>pat.droitiers-</vt:lpstr>
      <vt:lpstr>pat.droitiers+</vt:lpstr>
      <vt:lpstr>pat.droitiers</vt:lpstr>
      <vt:lpstr>controlsCHSA</vt:lpstr>
      <vt:lpstr>controls-nemauvi</vt:lpstr>
      <vt:lpstr>all-controlsFin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ROCA Pauline</dc:creator>
  <cp:lastModifiedBy>ROCA Pauline</cp:lastModifiedBy>
  <cp:revision>0</cp:revision>
  <cp:lastPrinted>2013-09-02T15:39:25Z</cp:lastPrinted>
  <dcterms:created xsi:type="dcterms:W3CDTF">2013-01-23T18:36:29Z</dcterms:created>
  <dcterms:modified xsi:type="dcterms:W3CDTF">2016-05-31T11:15:32Z</dcterms:modified>
</cp:coreProperties>
</file>